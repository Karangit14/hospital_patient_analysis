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39248554e607725a/Desktop/hospital_analysis_dashboard/"/>
    </mc:Choice>
  </mc:AlternateContent>
  <xr:revisionPtr revIDLastSave="1" documentId="13_ncr:1_{7564E1E0-99D8-4A21-9792-F1740CEC26F7}" xr6:coauthVersionLast="47" xr6:coauthVersionMax="47" xr10:uidLastSave="{FFBAB9AA-CFFF-4594-B77A-4D145DAB2ABF}"/>
  <bookViews>
    <workbookView xWindow="-108" yWindow="-108" windowWidth="23256" windowHeight="12456" activeTab="2" xr2:uid="{C3CF4CD7-593B-4106-B3E6-01B7F42871B2}"/>
  </bookViews>
  <sheets>
    <sheet name="Sheet2" sheetId="4" r:id="rId1"/>
    <sheet name="Pivot reports" sheetId="1" r:id="rId2"/>
    <sheet name="Dashboard" sheetId="2" r:id="rId3"/>
    <sheet name="average wait time" sheetId="5" r:id="rId4"/>
    <sheet name="no. patients in ER" sheetId="3" r:id="rId5"/>
  </sheets>
  <definedNames>
    <definedName name="ExternalData_1" localSheetId="0" hidden="1">Sheet2!$A$3:$M$34</definedName>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c531e32f-29f2-42c9-9e0f-33f982c94593" name="Hospital Emergency Room Data" connection="Query - Hospital Emergency Room Data"/>
          <x15:modelTable id="Calender_Table_6de886e8-ac31-4bd3-87ec-39364f294710"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3" i="1" l="1"/>
  <c r="B43" i="1"/>
  <c r="C43" i="1"/>
  <c r="A44" i="1"/>
  <c r="C44" i="1"/>
  <c r="B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3C9B78-18C3-4F58-978B-BD300CC0ADD4}" keepAlive="1" name="ModelConnection_ExternalData_1" description="Data Model" type="5" refreshedVersion="8" minRefreshableVersion="5" saveData="1">
    <dbPr connection="Data Model Connection" command="DRILLTHROUGH MAXROWS 1000 SELECT FROM [Model] WHERE (([Calender_Table].[date (Month)].&amp;[Apr],[Measures].[Average of Patient Waittime],[Calender_Table].[date (Day)].&amp;[1-Apr]))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9E89F194-B98C-4E92-9575-4FE9AB968371}" name="Query - Calender_Table" description="Connection to the 'Calender_Table' query in the workbook." type="100" refreshedVersion="8" minRefreshableVersion="5">
    <extLst>
      <ext xmlns:x15="http://schemas.microsoft.com/office/spreadsheetml/2010/11/main" uri="{DE250136-89BD-433C-8126-D09CA5730AF9}">
        <x15:connection id="1547f8da-290a-4d87-92b0-b81bee25c7bc"/>
      </ext>
    </extLst>
  </connection>
  <connection id="3" xr16:uid="{331A15E8-8090-4C03-BD54-FF24F1099E3E}"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91c4b0c-8a1e-43b6-8ac1-50e132c4a47a"/>
      </ext>
    </extLst>
  </connection>
  <connection id="4" xr16:uid="{C86618A9-F003-4438-8EEF-FF2B33005A0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<sst xmlns="http://schemas.openxmlformats.org/spreadsheetml/2006/main" count="409" uniqueCount="154">
  <si>
    <t>Distinct Count of Patient Id</t>
  </si>
  <si>
    <t>Average of Patient Waittime</t>
  </si>
  <si>
    <t>Average of Patient Satisfaction Score</t>
  </si>
  <si>
    <t>no. of patients</t>
  </si>
  <si>
    <t>Row Labels</t>
  </si>
  <si>
    <t>Grand Total</t>
  </si>
  <si>
    <t>Showing a daily trend with an area sparkline to spot pattern like busy days or seasonal trends.</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</si>
  <si>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</si>
  <si>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</si>
  <si>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</si>
  <si>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</si>
  <si>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</si>
  <si>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</si>
  <si>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</si>
  <si>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</si>
  <si>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</si>
  <si>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</si>
  <si>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</si>
  <si>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</si>
  <si>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</si>
  <si>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628-45-6492</t>
  </si>
  <si>
    <t>L. McCarrison</t>
  </si>
  <si>
    <t>Female</t>
  </si>
  <si>
    <t>White</t>
  </si>
  <si>
    <t>None</t>
  </si>
  <si>
    <t>admitted</t>
  </si>
  <si>
    <t>0-09</t>
  </si>
  <si>
    <t>Delay</t>
  </si>
  <si>
    <t>111-52-9197</t>
  </si>
  <si>
    <t>G. Hawkeswood</t>
  </si>
  <si>
    <t>not admitted</t>
  </si>
  <si>
    <t>60-69</t>
  </si>
  <si>
    <t>210-50-1801</t>
  </si>
  <si>
    <t>W. Martinelli</t>
  </si>
  <si>
    <t>70-79</t>
  </si>
  <si>
    <t>Ontime</t>
  </si>
  <si>
    <t>874-57-8352</t>
  </si>
  <si>
    <t>V. Matyushenko</t>
  </si>
  <si>
    <t>Male</t>
  </si>
  <si>
    <t>30-39</t>
  </si>
  <si>
    <t>210-44-1324</t>
  </si>
  <si>
    <t>A. Oates</t>
  </si>
  <si>
    <t>African American</t>
  </si>
  <si>
    <t>10-19</t>
  </si>
  <si>
    <t>338-11-7529</t>
  </si>
  <si>
    <t>B. Grzelczak</t>
  </si>
  <si>
    <t>428-40-4491</t>
  </si>
  <si>
    <t>J. Antonnikov</t>
  </si>
  <si>
    <t>40-49</t>
  </si>
  <si>
    <t>868-10-5414</t>
  </si>
  <si>
    <t>R. Fulker</t>
  </si>
  <si>
    <t>50-59</t>
  </si>
  <si>
    <t>417-42-4910</t>
  </si>
  <si>
    <t>V. Clelle</t>
  </si>
  <si>
    <t>Two or More Races</t>
  </si>
  <si>
    <t>822-92-9656</t>
  </si>
  <si>
    <t>U. Pendell</t>
  </si>
  <si>
    <t>Declined to Identify</t>
  </si>
  <si>
    <t>325-65-7104</t>
  </si>
  <si>
    <t>D. Golding</t>
  </si>
  <si>
    <t>405-16-6690</t>
  </si>
  <si>
    <t>A. Russam</t>
  </si>
  <si>
    <t>20-29</t>
  </si>
  <si>
    <t>897-16-6821</t>
  </si>
  <si>
    <t>A. Blowfelde</t>
  </si>
  <si>
    <t>Asian</t>
  </si>
  <si>
    <t>208-28-7749</t>
  </si>
  <si>
    <t>S. Shakespeare</t>
  </si>
  <si>
    <t>259-51-9518</t>
  </si>
  <si>
    <t>T. Rolingson</t>
  </si>
  <si>
    <t>496-35-0982</t>
  </si>
  <si>
    <t>A. Hamblett</t>
  </si>
  <si>
    <t>Pacific Islander</t>
  </si>
  <si>
    <t>389-14-6190</t>
  </si>
  <si>
    <t>E. Bygate</t>
  </si>
  <si>
    <t>General Practice</t>
  </si>
  <si>
    <t>576-82-1180</t>
  </si>
  <si>
    <t>X. Bassford</t>
  </si>
  <si>
    <t>106-45-9457</t>
  </si>
  <si>
    <t>I. Nicol</t>
  </si>
  <si>
    <t>125-52-4944</t>
  </si>
  <si>
    <t>N. Sommerscales</t>
  </si>
  <si>
    <t>869-40-4882</t>
  </si>
  <si>
    <t>W. Strover</t>
  </si>
  <si>
    <t>Orthopedics</t>
  </si>
  <si>
    <t>570-93-0122</t>
  </si>
  <si>
    <t>X. Olech</t>
  </si>
  <si>
    <t>685-14-2682</t>
  </si>
  <si>
    <t>V. Mityakov</t>
  </si>
  <si>
    <t>Native American/Alaska Native</t>
  </si>
  <si>
    <t>889-96-0276</t>
  </si>
  <si>
    <t>Q. Purseglove</t>
  </si>
  <si>
    <t>Cardiology</t>
  </si>
  <si>
    <t>100-34-9587</t>
  </si>
  <si>
    <t>U. Lamburn</t>
  </si>
  <si>
    <t>Neurology</t>
  </si>
  <si>
    <t>494-35-2410</t>
  </si>
  <si>
    <t>O. Mercy</t>
  </si>
  <si>
    <t>Gastroenterology</t>
  </si>
  <si>
    <t>766-20-3662</t>
  </si>
  <si>
    <t>N. Sparsholt</t>
  </si>
  <si>
    <t>170-60-7747</t>
  </si>
  <si>
    <t>T. Snowdon</t>
  </si>
  <si>
    <t>161-03-2325</t>
  </si>
  <si>
    <t>Q. Everson</t>
  </si>
  <si>
    <t>701-64-7880</t>
  </si>
  <si>
    <t>L. Brothwell</t>
  </si>
  <si>
    <t>689-22-4635</t>
  </si>
  <si>
    <t>V. Game</t>
  </si>
  <si>
    <t>Data returned for Average of Patient Waittime, 1-Apr, Apr (First 1000 rows).</t>
  </si>
  <si>
    <t>Use an area chart to track daily changes and highlight days with longer wait times that might need improvement</t>
  </si>
  <si>
    <t>Count of Patient Admission Flag</t>
  </si>
  <si>
    <t>Count of Patient Admission Flag2</t>
  </si>
  <si>
    <t>Admission Status</t>
  </si>
  <si>
    <t>no.of patient</t>
  </si>
  <si>
    <t>% Status</t>
  </si>
  <si>
    <t>Count of Age Group</t>
  </si>
  <si>
    <t>Count of Patient attend Status</t>
  </si>
  <si>
    <t>Count of Patient Gender</t>
  </si>
  <si>
    <t>Physiotherapy</t>
  </si>
  <si>
    <t>Renal</t>
  </si>
  <si>
    <t>Count of Department Referral</t>
  </si>
  <si>
    <t>2024</t>
  </si>
  <si>
    <t>1-Feb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</si>
  <si>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</si>
  <si>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</si>
  <si>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</si>
  <si>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</si>
  <si>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</si>
  <si>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</si>
  <si>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</si>
  <si>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</si>
  <si>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</si>
  <si>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</si>
  <si>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</si>
  <si>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</si>
  <si>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</si>
  <si>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</si>
  <si>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</si>
  <si>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</si>
  <si>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</si>
  <si>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</si>
  <si>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</si>
  <si>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</si>
  <si>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</si>
  <si>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</si>
  <si>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</si>
  <si>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</si>
  <si>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</si>
  <si>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</si>
  <si>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</si>
  <si>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</si>
  <si>
    <t>Qtr1</t>
  </si>
  <si>
    <t>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</si>
</sst>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1"/>
      <name val="Calibri"/>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4"/>
        <bgColor indexed="64"/>
      </patternFill>
    </fill>
    <fill>
      <patternFill patternType="solid">
        <fgColor theme="0"/>
        <bgColor indexed="64"/>
      </patternFill>
    </fill>
    <fill>
      <patternFill patternType="solid">
        <fgColor rgb="FF00B0F0"/>
        <bgColor indexed="64"/>
      </patternFill>
    </fill>
    <fill>
      <patternFill patternType="solid">
        <fgColor rgb="FF0070C0"/>
        <bgColor indexed="64"/>
      </patternFill>
    </fill>
    <fill>
      <patternFill patternType="solid">
        <fgColor theme="1" tint="0.499984740745262"/>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3" borderId="1" xfId="0" applyFill="1" applyBorder="1"/>
    <xf numFmtId="14" fontId="0" fillId="0" borderId="0" xfId="0" applyNumberFormat="1"/>
    <xf numFmtId="21" fontId="0" fillId="0" borderId="0" xfId="0" applyNumberFormat="1"/>
    <xf numFmtId="0" fontId="2" fillId="0" borderId="0" xfId="0" applyFont="1"/>
    <xf numFmtId="0" fontId="0" fillId="4" borderId="0" xfId="0" applyFill="1"/>
    <xf numFmtId="10" fontId="0" fillId="0" borderId="0" xfId="0" applyNumberFormat="1"/>
    <xf numFmtId="9" fontId="0" fillId="0" borderId="0" xfId="1" applyFont="1"/>
    <xf numFmtId="0" fontId="0" fillId="5" borderId="0" xfId="0" applyFill="1"/>
    <xf numFmtId="9" fontId="0" fillId="5" borderId="0" xfId="1" applyFont="1" applyFill="1"/>
    <xf numFmtId="9" fontId="0" fillId="6" borderId="0" xfId="1" applyFont="1" applyFill="1"/>
    <xf numFmtId="0" fontId="0" fillId="6" borderId="0" xfId="0" applyFill="1"/>
    <xf numFmtId="0" fontId="0" fillId="0" borderId="0" xfId="0" applyAlignment="1">
      <alignment horizontal="left" indent="1"/>
    </xf>
    <xf numFmtId="0" fontId="0" fillId="0" borderId="0" xfId="0" applyAlignment="1">
      <alignment horizontal="left" indent="2"/>
    </xf>
    <xf numFmtId="14" fontId="0" fillId="0" borderId="0" xfId="0" applyNumberFormat="1" applyAlignment="1">
      <alignment horizontal="left" indent="3"/>
    </xf>
    <xf numFmtId="0" fontId="0" fillId="7" borderId="0" xfId="0" applyFill="1"/>
    <xf numFmtId="0" fontId="0" fillId="0" borderId="0" xfId="0" applyNumberFormat="1"/>
  </cellXfs>
  <cellStyles count="2">
    <cellStyle name="Normal" xfId="0" builtinId="0"/>
    <cellStyle name="Percent" xfId="1" builtinId="5"/>
  </cellStyles>
  <dxfs count="33">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6" formatCode="hh:mm:ss"/>
    </dxf>
    <dxf>
      <numFmt numFmtId="19" formatCode="dd/mm/yyyy"/>
    </dxf>
    <dxf>
      <font>
        <b/>
        <color theme="1"/>
      </font>
      <border>
        <bottom style="thin">
          <color theme="8"/>
        </bottom>
        <vertical/>
        <horizontal/>
      </border>
    </dxf>
    <dxf>
      <font>
        <color theme="1"/>
      </font>
      <border diagonalUp="0" diagonalDown="0">
        <left/>
        <right/>
        <top/>
        <bottom/>
        <vertical/>
        <horizontal/>
      </border>
    </dxf>
    <dxf>
      <fill>
        <patternFill>
          <bgColor rgb="FFFF0000"/>
        </patternFill>
      </fill>
    </dxf>
    <dxf>
      <font>
        <b/>
        <color theme="1"/>
      </font>
      <border>
        <bottom style="thin">
          <color theme="9"/>
        </bottom>
        <vertical/>
        <horizontal/>
      </border>
    </dxf>
    <dxf>
      <font>
        <sz val="8"/>
        <color theme="1"/>
      </font>
      <border diagonalUp="0" diagonalDown="0">
        <left/>
        <right/>
        <top/>
        <bottom/>
        <vertical/>
        <horizontal/>
      </border>
    </dxf>
    <dxf>
      <font>
        <b/>
        <color theme="1"/>
      </font>
      <border>
        <bottom style="thin">
          <color theme="9"/>
        </bottom>
        <vertical/>
        <horizontal/>
      </border>
    </dxf>
    <dxf>
      <font>
        <sz val="8"/>
        <color theme="1"/>
      </font>
      <border diagonalUp="0" diagonalDown="0">
        <left/>
        <right/>
        <top/>
        <bottom/>
        <vertical/>
        <horizontal/>
      </border>
    </dxf>
  </dxfs>
  <tableStyles count="4" defaultTableStyle="TableStyleMedium2" defaultPivotStyle="PivotStyleLight16">
    <tableStyle name="My Style" pivot="0" table="0" count="10" xr9:uid="{FEAED0FA-67D1-496E-B809-8D212BC02BBF}">
      <tableStyleElement type="wholeTable" dxfId="32"/>
      <tableStyleElement type="headerRow" dxfId="31"/>
    </tableStyle>
    <tableStyle name="My Style 2" pivot="0" table="0" count="10" xr9:uid="{94B94D1B-4D51-4A08-8449-5B729DA56C86}">
      <tableStyleElement type="wholeTable" dxfId="30"/>
      <tableStyleElement type="headerRow" dxfId="29"/>
    </tableStyle>
    <tableStyle name="Slicer Style 1" pivot="0" table="0" count="1" xr9:uid="{FA0DDACF-C5D7-4994-8F84-3E5C9FF0E8C0}">
      <tableStyleElement type="wholeTable" dxfId="28"/>
    </tableStyle>
    <tableStyle name="SlicerStyleDark5 2" pivot="0" table="0" count="10" xr9:uid="{28E5BEBD-5E43-4CEE-8133-DB04684D019B}">
      <tableStyleElement type="wholeTable" dxfId="27"/>
      <tableStyleElement type="headerRow" dxfId="26"/>
    </tableStyle>
  </tableStyles>
  <colors>
    <mruColors>
      <color rgb="FF0033CC"/>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cleaning.csv.xlsx]Pivot reports!PivotTable7</c:name>
    <c:fmtId val="0"/>
  </c:pivotSource>
  <c:chart>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4589854192685804"/>
                  <c:h val="0.11555760482408477"/>
                </c:manualLayout>
              </c15:layout>
              <c15:showDataLabelsRange val="1"/>
            </c:ext>
          </c:extLst>
        </c:dLbl>
      </c:pivotFmt>
      <c:pivotFmt>
        <c:idx val="3"/>
        <c:spPr>
          <a:solidFill>
            <a:srgbClr val="0070C0"/>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0799798650772001"/>
                  <c:h val="0.2826676448305297"/>
                </c:manualLayout>
              </c15:layout>
              <c15:showDataLabelsRange val="1"/>
            </c:ext>
          </c:extLst>
        </c:dLbl>
      </c:pivotFmt>
    </c:pivotFmts>
    <c:plotArea>
      <c:layout>
        <c:manualLayout>
          <c:layoutTarget val="inner"/>
          <c:xMode val="edge"/>
          <c:yMode val="edge"/>
          <c:x val="0.12479011135109223"/>
          <c:y val="8.8456409430139563E-2"/>
          <c:w val="0.69157422478979069"/>
          <c:h val="0.71365000602048745"/>
        </c:manualLayout>
      </c:layout>
      <c:barChart>
        <c:barDir val="bar"/>
        <c:grouping val="clustered"/>
        <c:varyColors val="0"/>
        <c:ser>
          <c:idx val="0"/>
          <c:order val="0"/>
          <c:tx>
            <c:strRef>
              <c:f>'Pivot reports'!$B$23</c:f>
              <c:strCache>
                <c:ptCount val="1"/>
                <c:pt idx="0">
                  <c:v>Count of Patient Admission Flag</c:v>
                </c:pt>
              </c:strCache>
            </c:strRef>
          </c:tx>
          <c:spPr>
            <a:solidFill>
              <a:srgbClr val="0070C0"/>
            </a:solidFill>
            <a:ln>
              <a:noFill/>
            </a:ln>
            <a:effectLst/>
          </c:spPr>
          <c:invertIfNegative val="0"/>
          <c:dPt>
            <c:idx val="0"/>
            <c:invertIfNegative val="0"/>
            <c:bubble3D val="0"/>
            <c:extLst>
              <c:ext xmlns:c16="http://schemas.microsoft.com/office/drawing/2014/chart" uri="{C3380CC4-5D6E-409C-BE32-E72D297353CC}">
                <c16:uniqueId val="{00000000-739D-411B-B5E9-B3406DC4D463}"/>
              </c:ext>
            </c:extLst>
          </c:dPt>
          <c:dPt>
            <c:idx val="1"/>
            <c:invertIfNegative val="0"/>
            <c:bubble3D val="0"/>
            <c:extLst>
              <c:ext xmlns:c16="http://schemas.microsoft.com/office/drawing/2014/chart" uri="{C3380CC4-5D6E-409C-BE32-E72D297353CC}">
                <c16:uniqueId val="{00000001-739D-411B-B5E9-B3406DC4D463}"/>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0799798650772001"/>
                      <c:h val="0.2826676448305297"/>
                    </c:manualLayout>
                  </c15:layout>
                  <c15:showDataLabelsRange val="1"/>
                </c:ext>
                <c:ext xmlns:c16="http://schemas.microsoft.com/office/drawing/2014/chart" uri="{C3380CC4-5D6E-409C-BE32-E72D297353CC}">
                  <c16:uniqueId val="{00000000-739D-411B-B5E9-B3406DC4D463}"/>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34589854192685804"/>
                      <c:h val="0.11555760482408477"/>
                    </c:manualLayout>
                  </c15:layout>
                  <c15:showDataLabelsRange val="1"/>
                </c:ext>
                <c:ext xmlns:c16="http://schemas.microsoft.com/office/drawing/2014/chart" uri="{C3380CC4-5D6E-409C-BE32-E72D297353CC}">
                  <c16:uniqueId val="{00000001-739D-411B-B5E9-B3406DC4D4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reports'!$A$24:$A$26</c:f>
              <c:strCache>
                <c:ptCount val="2"/>
                <c:pt idx="0">
                  <c:v>admitted</c:v>
                </c:pt>
                <c:pt idx="1">
                  <c:v>not admitted</c:v>
                </c:pt>
              </c:strCache>
            </c:strRef>
          </c:cat>
          <c:val>
            <c:numRef>
              <c:f>'Pivot reports'!$B$24:$B$26</c:f>
              <c:numCache>
                <c:formatCode>0.00</c:formatCode>
                <c:ptCount val="2"/>
                <c:pt idx="0">
                  <c:v>224</c:v>
                </c:pt>
                <c:pt idx="1">
                  <c:v>207</c:v>
                </c:pt>
              </c:numCache>
            </c:numRef>
          </c:val>
          <c:extLst>
            <c:ext xmlns:c16="http://schemas.microsoft.com/office/drawing/2014/chart" uri="{C3380CC4-5D6E-409C-BE32-E72D297353CC}">
              <c16:uniqueId val="{0000000B-5402-42AF-B944-1988BFB5521C}"/>
            </c:ext>
          </c:extLst>
        </c:ser>
        <c:ser>
          <c:idx val="1"/>
          <c:order val="1"/>
          <c:tx>
            <c:strRef>
              <c:f>'Pivot reports'!$C$23</c:f>
              <c:strCache>
                <c:ptCount val="1"/>
                <c:pt idx="0">
                  <c:v>Count of Patient Admission Flag2</c:v>
                </c:pt>
              </c:strCache>
            </c:strRef>
          </c:tx>
          <c:spPr>
            <a:solidFill>
              <a:schemeClr val="accent2"/>
            </a:solidFill>
            <a:ln>
              <a:noFill/>
            </a:ln>
            <a:effectLst/>
          </c:spPr>
          <c:invertIfNegative val="0"/>
          <c:cat>
            <c:strRef>
              <c:f>'Pivot reports'!$A$24:$A$26</c:f>
              <c:strCache>
                <c:ptCount val="2"/>
                <c:pt idx="0">
                  <c:v>admitted</c:v>
                </c:pt>
                <c:pt idx="1">
                  <c:v>not admitted</c:v>
                </c:pt>
              </c:strCache>
            </c:strRef>
          </c:cat>
          <c:val>
            <c:numRef>
              <c:f>'Pivot reports'!$C$24:$C$26</c:f>
              <c:numCache>
                <c:formatCode>0.00%</c:formatCode>
                <c:ptCount val="2"/>
                <c:pt idx="0">
                  <c:v>0.51972157772621808</c:v>
                </c:pt>
                <c:pt idx="1">
                  <c:v>0.48027842227378192</c:v>
                </c:pt>
              </c:numCache>
            </c:numRef>
          </c:val>
          <c:extLst>
            <c:ext xmlns:c16="http://schemas.microsoft.com/office/drawing/2014/chart" uri="{C3380CC4-5D6E-409C-BE32-E72D297353CC}">
              <c16:uniqueId val="{0000000C-5402-42AF-B944-1988BFB5521C}"/>
            </c:ext>
          </c:extLst>
        </c:ser>
        <c:dLbls>
          <c:showLegendKey val="0"/>
          <c:showVal val="0"/>
          <c:showCatName val="0"/>
          <c:showSerName val="0"/>
          <c:showPercent val="0"/>
          <c:showBubbleSize val="0"/>
        </c:dLbls>
        <c:gapWidth val="0"/>
        <c:axId val="974180639"/>
        <c:axId val="792480527"/>
      </c:barChart>
      <c:catAx>
        <c:axId val="974180639"/>
        <c:scaling>
          <c:orientation val="minMax"/>
        </c:scaling>
        <c:delete val="1"/>
        <c:axPos val="l"/>
        <c:numFmt formatCode="General" sourceLinked="1"/>
        <c:majorTickMark val="out"/>
        <c:minorTickMark val="none"/>
        <c:tickLblPos val="nextTo"/>
        <c:crossAx val="792480527"/>
        <c:crosses val="autoZero"/>
        <c:auto val="1"/>
        <c:lblAlgn val="ctr"/>
        <c:lblOffset val="100"/>
        <c:noMultiLvlLbl val="0"/>
      </c:catAx>
      <c:valAx>
        <c:axId val="792480527"/>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974180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cleaning.csv.xlsx]Pivot reports!PivotTable5</c:name>
    <c:fmtId val="8"/>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2990685360052"/>
          <c:y val="0"/>
          <c:w val="0.6743401862927989"/>
          <c:h val="0.61428520124048303"/>
        </c:manualLayout>
      </c:layout>
      <c:areaChart>
        <c:grouping val="standard"/>
        <c:varyColors val="0"/>
        <c:ser>
          <c:idx val="0"/>
          <c:order val="0"/>
          <c:tx>
            <c:strRef>
              <c:f>'Pivot reports'!$I$5</c:f>
              <c:strCache>
                <c:ptCount val="1"/>
                <c:pt idx="0">
                  <c:v>Total</c:v>
                </c:pt>
              </c:strCache>
            </c:strRef>
          </c:tx>
          <c:spPr>
            <a:solidFill>
              <a:srgbClr val="0070C0"/>
            </a:solidFill>
            <a:ln w="25400">
              <a:noFill/>
            </a:ln>
            <a:effectLst/>
          </c:spPr>
          <c:cat>
            <c:strRef>
              <c:f>'Pivot reports'!$H$6:$H$35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reports'!$I$6:$I$35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4-0A81-4437-BA38-8082FA080DC4}"/>
            </c:ext>
          </c:extLst>
        </c:ser>
        <c:dLbls>
          <c:showLegendKey val="0"/>
          <c:showVal val="0"/>
          <c:showCatName val="0"/>
          <c:showSerName val="0"/>
          <c:showPercent val="0"/>
          <c:showBubbleSize val="0"/>
        </c:dLbls>
        <c:axId val="2121264175"/>
        <c:axId val="2114392399"/>
      </c:areaChart>
      <c:catAx>
        <c:axId val="2121264175"/>
        <c:scaling>
          <c:orientation val="minMax"/>
        </c:scaling>
        <c:delete val="1"/>
        <c:axPos val="b"/>
        <c:numFmt formatCode="General" sourceLinked="1"/>
        <c:majorTickMark val="out"/>
        <c:minorTickMark val="none"/>
        <c:tickLblPos val="nextTo"/>
        <c:crossAx val="2114392399"/>
        <c:crosses val="autoZero"/>
        <c:auto val="1"/>
        <c:lblAlgn val="ctr"/>
        <c:lblOffset val="100"/>
        <c:noMultiLvlLbl val="0"/>
      </c:catAx>
      <c:valAx>
        <c:axId val="2114392399"/>
        <c:scaling>
          <c:orientation val="minMax"/>
        </c:scaling>
        <c:delete val="1"/>
        <c:axPos val="l"/>
        <c:numFmt formatCode="General" sourceLinked="1"/>
        <c:majorTickMark val="out"/>
        <c:minorTickMark val="none"/>
        <c:tickLblPos val="nextTo"/>
        <c:crossAx val="2121264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cleaning.csv.xlsx]Pivot reports!PivotTable4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06806565449151E-3"/>
          <c:y val="2.569048612076557E-2"/>
          <c:w val="0.95086002040997042"/>
          <c:h val="0.9381102990341138"/>
        </c:manualLayout>
      </c:layout>
      <c:areaChart>
        <c:grouping val="standard"/>
        <c:varyColors val="0"/>
        <c:ser>
          <c:idx val="0"/>
          <c:order val="0"/>
          <c:tx>
            <c:strRef>
              <c:f>'Pivot reports'!$O$5</c:f>
              <c:strCache>
                <c:ptCount val="1"/>
                <c:pt idx="0">
                  <c:v>Total</c:v>
                </c:pt>
              </c:strCache>
            </c:strRef>
          </c:tx>
          <c:spPr>
            <a:solidFill>
              <a:srgbClr val="0070C0"/>
            </a:solidFill>
            <a:ln w="25400">
              <a:noFill/>
            </a:ln>
            <a:effectLst/>
          </c:spPr>
          <c:cat>
            <c:strRef>
              <c:f>'Pivot reports'!$N$6:$N$35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reports'!$O$6:$O$35</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5-B5CB-4616-A3A4-E43A22E6B647}"/>
            </c:ext>
          </c:extLst>
        </c:ser>
        <c:dLbls>
          <c:showLegendKey val="0"/>
          <c:showVal val="0"/>
          <c:showCatName val="0"/>
          <c:showSerName val="0"/>
          <c:showPercent val="0"/>
          <c:showBubbleSize val="0"/>
        </c:dLbls>
        <c:axId val="926305407"/>
        <c:axId val="792484367"/>
      </c:areaChart>
      <c:catAx>
        <c:axId val="926305407"/>
        <c:scaling>
          <c:orientation val="minMax"/>
        </c:scaling>
        <c:delete val="1"/>
        <c:axPos val="b"/>
        <c:numFmt formatCode="General" sourceLinked="1"/>
        <c:majorTickMark val="out"/>
        <c:minorTickMark val="none"/>
        <c:tickLblPos val="nextTo"/>
        <c:crossAx val="792484367"/>
        <c:crosses val="autoZero"/>
        <c:auto val="1"/>
        <c:lblAlgn val="ctr"/>
        <c:lblOffset val="100"/>
        <c:noMultiLvlLbl val="0"/>
      </c:catAx>
      <c:valAx>
        <c:axId val="792484367"/>
        <c:scaling>
          <c:orientation val="minMax"/>
        </c:scaling>
        <c:delete val="1"/>
        <c:axPos val="l"/>
        <c:numFmt formatCode="0.00" sourceLinked="1"/>
        <c:majorTickMark val="none"/>
        <c:minorTickMark val="none"/>
        <c:tickLblPos val="nextTo"/>
        <c:crossAx val="926305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cleaning.csv.xlsx]Pivot reports!PivotTable6</c:name>
    <c:fmtId val="47"/>
  </c:pivotSource>
  <c:chart>
    <c:autoTitleDeleted val="1"/>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899144120261857E-4"/>
          <c:y val="4.5229681978798579E-3"/>
          <c:w val="0.93321427914088795"/>
          <c:h val="0.92785817297732232"/>
        </c:manualLayout>
      </c:layout>
      <c:areaChart>
        <c:grouping val="standard"/>
        <c:varyColors val="0"/>
        <c:ser>
          <c:idx val="0"/>
          <c:order val="0"/>
          <c:tx>
            <c:strRef>
              <c:f>'Pivot reports'!$V$5</c:f>
              <c:strCache>
                <c:ptCount val="1"/>
                <c:pt idx="0">
                  <c:v>Total</c:v>
                </c:pt>
              </c:strCache>
            </c:strRef>
          </c:tx>
          <c:spPr>
            <a:solidFill>
              <a:srgbClr val="0070C0"/>
            </a:solidFill>
            <a:ln w="25400">
              <a:noFill/>
            </a:ln>
            <a:effectLst/>
          </c:spPr>
          <c:cat>
            <c:strRef>
              <c:f>'Pivot reports'!$U$6:$U$34</c:f>
              <c:strCache>
                <c:ptCount val="28"/>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27-Feb</c:v>
                </c:pt>
                <c:pt idx="26">
                  <c:v>28-Feb</c:v>
                </c:pt>
                <c:pt idx="27">
                  <c:v>29-Feb</c:v>
                </c:pt>
              </c:strCache>
            </c:strRef>
          </c:cat>
          <c:val>
            <c:numRef>
              <c:f>'Pivot reports'!$V$6:$V$34</c:f>
              <c:numCache>
                <c:formatCode>0.00</c:formatCode>
                <c:ptCount val="28"/>
                <c:pt idx="0">
                  <c:v>4.166666666666667</c:v>
                </c:pt>
                <c:pt idx="1">
                  <c:v>5.75</c:v>
                </c:pt>
                <c:pt idx="2">
                  <c:v>4.75</c:v>
                </c:pt>
                <c:pt idx="3">
                  <c:v>7</c:v>
                </c:pt>
                <c:pt idx="4">
                  <c:v>3.1428571428571428</c:v>
                </c:pt>
                <c:pt idx="5">
                  <c:v>8</c:v>
                </c:pt>
                <c:pt idx="6">
                  <c:v>5.25</c:v>
                </c:pt>
                <c:pt idx="7">
                  <c:v>4.5714285714285712</c:v>
                </c:pt>
                <c:pt idx="8">
                  <c:v>2.75</c:v>
                </c:pt>
                <c:pt idx="9">
                  <c:v>4.5</c:v>
                </c:pt>
                <c:pt idx="10">
                  <c:v>5.5</c:v>
                </c:pt>
                <c:pt idx="11">
                  <c:v>5.6</c:v>
                </c:pt>
                <c:pt idx="12">
                  <c:v>5.75</c:v>
                </c:pt>
                <c:pt idx="13">
                  <c:v>3.4444444444444446</c:v>
                </c:pt>
                <c:pt idx="14">
                  <c:v>1.5</c:v>
                </c:pt>
                <c:pt idx="15">
                  <c:v>3.6666666666666665</c:v>
                </c:pt>
                <c:pt idx="16">
                  <c:v>4.4285714285714288</c:v>
                </c:pt>
                <c:pt idx="17">
                  <c:v>6</c:v>
                </c:pt>
                <c:pt idx="18">
                  <c:v>2.6666666666666665</c:v>
                </c:pt>
                <c:pt idx="19">
                  <c:v>7.5</c:v>
                </c:pt>
                <c:pt idx="20">
                  <c:v>4.5</c:v>
                </c:pt>
                <c:pt idx="21">
                  <c:v>8</c:v>
                </c:pt>
                <c:pt idx="22">
                  <c:v>4.3636363636363633</c:v>
                </c:pt>
                <c:pt idx="23">
                  <c:v>0</c:v>
                </c:pt>
                <c:pt idx="24">
                  <c:v>10</c:v>
                </c:pt>
                <c:pt idx="25">
                  <c:v>6.75</c:v>
                </c:pt>
                <c:pt idx="26">
                  <c:v>7</c:v>
                </c:pt>
                <c:pt idx="27">
                  <c:v>3.3333333333333335</c:v>
                </c:pt>
              </c:numCache>
            </c:numRef>
          </c:val>
          <c:extLst>
            <c:ext xmlns:c16="http://schemas.microsoft.com/office/drawing/2014/chart" uri="{C3380CC4-5D6E-409C-BE32-E72D297353CC}">
              <c16:uniqueId val="{00000005-6FA2-4666-9F7C-91C401816915}"/>
            </c:ext>
          </c:extLst>
        </c:ser>
        <c:dLbls>
          <c:showLegendKey val="0"/>
          <c:showVal val="0"/>
          <c:showCatName val="0"/>
          <c:showSerName val="0"/>
          <c:showPercent val="0"/>
          <c:showBubbleSize val="0"/>
        </c:dLbls>
        <c:axId val="974183423"/>
        <c:axId val="1572025903"/>
      </c:areaChart>
      <c:catAx>
        <c:axId val="974183423"/>
        <c:scaling>
          <c:orientation val="minMax"/>
        </c:scaling>
        <c:delete val="1"/>
        <c:axPos val="b"/>
        <c:numFmt formatCode="General" sourceLinked="1"/>
        <c:majorTickMark val="out"/>
        <c:minorTickMark val="none"/>
        <c:tickLblPos val="nextTo"/>
        <c:crossAx val="1572025903"/>
        <c:crosses val="autoZero"/>
        <c:auto val="1"/>
        <c:lblAlgn val="ctr"/>
        <c:lblOffset val="100"/>
        <c:noMultiLvlLbl val="0"/>
      </c:catAx>
      <c:valAx>
        <c:axId val="1572025903"/>
        <c:scaling>
          <c:orientation val="minMax"/>
        </c:scaling>
        <c:delete val="1"/>
        <c:axPos val="l"/>
        <c:numFmt formatCode="0.00" sourceLinked="1"/>
        <c:majorTickMark val="none"/>
        <c:minorTickMark val="none"/>
        <c:tickLblPos val="nextTo"/>
        <c:crossAx val="9741834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cleaning.csv.xlsx]Pivot reports!PivotTable8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058457060544547E-2"/>
          <c:y val="3.6431351163770664E-2"/>
          <c:w val="0.95916694534636626"/>
          <c:h val="0.76772071235365502"/>
        </c:manualLayout>
      </c:layout>
      <c:barChart>
        <c:barDir val="col"/>
        <c:grouping val="clustered"/>
        <c:varyColors val="0"/>
        <c:ser>
          <c:idx val="0"/>
          <c:order val="0"/>
          <c:tx>
            <c:strRef>
              <c:f>'Pivot reports'!$B$51</c:f>
              <c:strCache>
                <c:ptCount val="1"/>
                <c:pt idx="0">
                  <c:v>Total</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reports'!$A$52:$A$60</c:f>
              <c:strCache>
                <c:ptCount val="8"/>
                <c:pt idx="0">
                  <c:v>0-09</c:v>
                </c:pt>
                <c:pt idx="1">
                  <c:v>10-19</c:v>
                </c:pt>
                <c:pt idx="2">
                  <c:v>20-29</c:v>
                </c:pt>
                <c:pt idx="3">
                  <c:v>30-39</c:v>
                </c:pt>
                <c:pt idx="4">
                  <c:v>40-49</c:v>
                </c:pt>
                <c:pt idx="5">
                  <c:v>50-59</c:v>
                </c:pt>
                <c:pt idx="6">
                  <c:v>60-69</c:v>
                </c:pt>
                <c:pt idx="7">
                  <c:v>70-79</c:v>
                </c:pt>
              </c:strCache>
            </c:strRef>
          </c:cat>
          <c:val>
            <c:numRef>
              <c:f>'Pivot reports'!$B$52:$B$60</c:f>
              <c:numCache>
                <c:formatCode>0.00</c:formatCode>
                <c:ptCount val="8"/>
                <c:pt idx="0">
                  <c:v>42</c:v>
                </c:pt>
                <c:pt idx="1">
                  <c:v>46</c:v>
                </c:pt>
                <c:pt idx="2">
                  <c:v>54</c:v>
                </c:pt>
                <c:pt idx="3">
                  <c:v>68</c:v>
                </c:pt>
                <c:pt idx="4">
                  <c:v>62</c:v>
                </c:pt>
                <c:pt idx="5">
                  <c:v>52</c:v>
                </c:pt>
                <c:pt idx="6">
                  <c:v>54</c:v>
                </c:pt>
                <c:pt idx="7">
                  <c:v>53</c:v>
                </c:pt>
              </c:numCache>
            </c:numRef>
          </c:val>
          <c:extLst>
            <c:ext xmlns:c16="http://schemas.microsoft.com/office/drawing/2014/chart" uri="{C3380CC4-5D6E-409C-BE32-E72D297353CC}">
              <c16:uniqueId val="{00000005-2E59-4065-A55D-55F023D18FBB}"/>
            </c:ext>
          </c:extLst>
        </c:ser>
        <c:dLbls>
          <c:showLegendKey val="0"/>
          <c:showVal val="0"/>
          <c:showCatName val="0"/>
          <c:showSerName val="0"/>
          <c:showPercent val="0"/>
          <c:showBubbleSize val="0"/>
        </c:dLbls>
        <c:gapWidth val="219"/>
        <c:overlap val="-27"/>
        <c:axId val="974145839"/>
        <c:axId val="792476687"/>
      </c:barChart>
      <c:catAx>
        <c:axId val="97414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2476687"/>
        <c:crosses val="autoZero"/>
        <c:auto val="1"/>
        <c:lblAlgn val="ctr"/>
        <c:lblOffset val="100"/>
        <c:noMultiLvlLbl val="0"/>
      </c:catAx>
      <c:valAx>
        <c:axId val="792476687"/>
        <c:scaling>
          <c:orientation val="minMax"/>
        </c:scaling>
        <c:delete val="1"/>
        <c:axPos val="l"/>
        <c:numFmt formatCode="0.00" sourceLinked="1"/>
        <c:majorTickMark val="none"/>
        <c:minorTickMark val="none"/>
        <c:tickLblPos val="nextTo"/>
        <c:crossAx val="974145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cleaning.csv.xlsx]Pivot reports!PivotTable9</c:name>
    <c:fmtId val="5"/>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a:noFill/>
          </a:ln>
          <a:effectLst>
            <a:outerShdw blurRad="254000" sx="102000" sy="102000" algn="ctr" rotWithShape="0">
              <a:prstClr val="black">
                <a:alpha val="20000"/>
              </a:prstClr>
            </a:outerShdw>
          </a:effectLst>
        </c:spPr>
      </c:pivotFmt>
      <c:pivotFmt>
        <c:idx val="2"/>
        <c:spPr>
          <a:solidFill>
            <a:srgbClr val="0070C0"/>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0070C0"/>
          </a:solidFill>
          <a:ln>
            <a:noFill/>
          </a:ln>
          <a:effectLst>
            <a:outerShdw blurRad="254000" sx="102000" sy="102000" algn="ctr" rotWithShape="0">
              <a:prstClr val="black">
                <a:alpha val="20000"/>
              </a:prstClr>
            </a:outerShdw>
          </a:effectLst>
        </c:spPr>
      </c:pivotFmt>
      <c:pivotFmt>
        <c:idx val="5"/>
        <c:spPr>
          <a:solidFill>
            <a:srgbClr val="00B0F0"/>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a:noFill/>
          </a:ln>
          <a:effectLst>
            <a:outerShdw blurRad="254000" sx="102000" sy="102000" algn="ctr" rotWithShape="0">
              <a:prstClr val="black">
                <a:alpha val="20000"/>
              </a:prstClr>
            </a:outerShdw>
          </a:effectLst>
        </c:spPr>
      </c:pivotFmt>
      <c:pivotFmt>
        <c:idx val="8"/>
        <c:spPr>
          <a:solidFill>
            <a:srgbClr val="00B0F0"/>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046461415547309"/>
          <c:y val="0.14656644632131696"/>
          <c:w val="0.78173046972284643"/>
          <c:h val="0.75291138098651755"/>
        </c:manualLayout>
      </c:layout>
      <c:pieChart>
        <c:varyColors val="1"/>
        <c:ser>
          <c:idx val="0"/>
          <c:order val="0"/>
          <c:tx>
            <c:strRef>
              <c:f>'Pivot reports'!$I$51</c:f>
              <c:strCache>
                <c:ptCount val="1"/>
                <c:pt idx="0">
                  <c:v>Total</c:v>
                </c:pt>
              </c:strCache>
            </c:strRef>
          </c:tx>
          <c:dPt>
            <c:idx val="0"/>
            <c:bubble3D val="0"/>
            <c:spPr>
              <a:solidFill>
                <a:srgbClr val="0070C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550-45D1-B229-FF19131E1E19}"/>
              </c:ext>
            </c:extLst>
          </c:dPt>
          <c:dPt>
            <c:idx val="1"/>
            <c:bubble3D val="0"/>
            <c:spPr>
              <a:solidFill>
                <a:srgbClr val="00B0F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550-45D1-B229-FF19131E1E1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reports'!$H$52:$H$54</c:f>
              <c:strCache>
                <c:ptCount val="2"/>
                <c:pt idx="0">
                  <c:v>Delay</c:v>
                </c:pt>
                <c:pt idx="1">
                  <c:v>Ontime</c:v>
                </c:pt>
              </c:strCache>
            </c:strRef>
          </c:cat>
          <c:val>
            <c:numRef>
              <c:f>'Pivot reports'!$I$52:$I$54</c:f>
              <c:numCache>
                <c:formatCode>0.00</c:formatCode>
                <c:ptCount val="2"/>
                <c:pt idx="0">
                  <c:v>283</c:v>
                </c:pt>
                <c:pt idx="1">
                  <c:v>148</c:v>
                </c:pt>
              </c:numCache>
            </c:numRef>
          </c:val>
          <c:extLst>
            <c:ext xmlns:c16="http://schemas.microsoft.com/office/drawing/2014/chart" uri="{C3380CC4-5D6E-409C-BE32-E72D297353CC}">
              <c16:uniqueId val="{00000009-5D7D-45E3-AC9C-B861D14922C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0.13408397978377465"/>
          <c:y val="5.2073758857493532E-2"/>
          <c:w val="0.68677551489573663"/>
          <c:h val="0.1030636728127825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cleaning.csv.xlsx]Pivot reports!PivotTable10</c:name>
    <c:fmtId val="5"/>
  </c:pivotSource>
  <c:chart>
    <c:autoTitleDeleted val="1"/>
    <c:pivotFmts>
      <c:pivotFmt>
        <c:idx val="0"/>
        <c:spPr>
          <a:solidFill>
            <a:srgbClr val="0070C0"/>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F0"/>
          </a:solidFill>
          <a:ln>
            <a:noFill/>
          </a:ln>
          <a:effectLst>
            <a:outerShdw blurRad="317500" algn="ctr" rotWithShape="0">
              <a:prstClr val="black">
                <a:alpha val="25000"/>
              </a:prstClr>
            </a:outerShdw>
          </a:effectLst>
        </c:spPr>
      </c:pivotFmt>
      <c:pivotFmt>
        <c:idx val="2"/>
        <c:spPr>
          <a:solidFill>
            <a:srgbClr val="0070C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0070C0"/>
          </a:solidFill>
          <a:ln>
            <a:noFill/>
          </a:ln>
          <a:effectLst>
            <a:outerShdw blurRad="317500" algn="ctr" rotWithShape="0">
              <a:prstClr val="black">
                <a:alpha val="25000"/>
              </a:prstClr>
            </a:outerShdw>
          </a:effectLst>
        </c:spPr>
      </c:pivotFmt>
      <c:pivotFmt>
        <c:idx val="4"/>
        <c:spPr>
          <a:solidFill>
            <a:srgbClr val="00B0F0"/>
          </a:solidFill>
          <a:ln>
            <a:noFill/>
          </a:ln>
          <a:effectLst>
            <a:outerShdw blurRad="317500" algn="ctr" rotWithShape="0">
              <a:prstClr val="black">
                <a:alpha val="25000"/>
              </a:prstClr>
            </a:outerShdw>
          </a:effectLst>
        </c:spPr>
      </c:pivotFmt>
      <c:pivotFmt>
        <c:idx val="5"/>
        <c:spPr>
          <a:solidFill>
            <a:srgbClr val="0070C0"/>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70C0"/>
          </a:solidFill>
          <a:ln>
            <a:noFill/>
          </a:ln>
          <a:effectLst>
            <a:outerShdw blurRad="317500" algn="ctr" rotWithShape="0">
              <a:prstClr val="black">
                <a:alpha val="25000"/>
              </a:prstClr>
            </a:outerShdw>
          </a:effectLst>
        </c:spPr>
        <c:dLbl>
          <c:idx val="0"/>
          <c:layout>
            <c:manualLayout>
              <c:x val="0.10015108092851355"/>
              <c:y val="0.3543477099756939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09DA1334-B984-42AC-9967-C29B8B179026}" type="PERCENTAGE">
                  <a:rPr lang="en-US" sz="800"/>
                  <a:pPr>
                    <a:defRPr sz="800"/>
                  </a:pPr>
                  <a:t>[PERCENTAGE]</a:t>
                </a:fld>
                <a:endParaRPr lang="en-IN"/>
              </a:p>
            </c:rich>
          </c:tx>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8093961954418114"/>
                  <c:h val="0.14158746001136779"/>
                </c:manualLayout>
              </c15:layout>
              <c15:dlblFieldTable/>
              <c15:showDataLabelsRange val="0"/>
            </c:ext>
          </c:extLst>
        </c:dLbl>
      </c:pivotFmt>
      <c:pivotFmt>
        <c:idx val="7"/>
        <c:spPr>
          <a:solidFill>
            <a:srgbClr val="00B0F0"/>
          </a:solidFill>
          <a:ln>
            <a:noFill/>
          </a:ln>
          <a:effectLst>
            <a:outerShdw blurRad="317500" algn="ctr" rotWithShape="0">
              <a:prstClr val="black">
                <a:alpha val="25000"/>
              </a:prstClr>
            </a:outerShdw>
          </a:effectLst>
        </c:spPr>
        <c:dLbl>
          <c:idx val="0"/>
          <c:layout>
            <c:manualLayout>
              <c:x val="-5.0075540464256794E-2"/>
              <c:y val="0.3037262669012506"/>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874933380473564"/>
          <c:y val="0.16683500489071035"/>
          <c:w val="0.60673943172804634"/>
          <c:h val="0.736018826245457"/>
        </c:manualLayout>
      </c:layout>
      <c:doughnutChart>
        <c:varyColors val="1"/>
        <c:ser>
          <c:idx val="0"/>
          <c:order val="0"/>
          <c:tx>
            <c:strRef>
              <c:f>'Pivot reports'!$L$51</c:f>
              <c:strCache>
                <c:ptCount val="1"/>
                <c:pt idx="0">
                  <c:v>Total</c:v>
                </c:pt>
              </c:strCache>
            </c:strRef>
          </c:tx>
          <c:spPr>
            <a:solidFill>
              <a:srgbClr val="0070C0"/>
            </a:solidFill>
          </c:spPr>
          <c:dPt>
            <c:idx val="0"/>
            <c:bubble3D val="0"/>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E75-432E-93D8-BB10BDE3279C}"/>
              </c:ext>
            </c:extLst>
          </c:dPt>
          <c:dPt>
            <c:idx val="1"/>
            <c:bubble3D val="0"/>
            <c:spPr>
              <a:solidFill>
                <a:srgbClr val="00B0F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E75-432E-93D8-BB10BDE3279C}"/>
              </c:ext>
            </c:extLst>
          </c:dPt>
          <c:dLbls>
            <c:dLbl>
              <c:idx val="0"/>
              <c:layout>
                <c:manualLayout>
                  <c:x val="0.10015108092851355"/>
                  <c:y val="0.35434770997569393"/>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fld id="{09DA1334-B984-42AC-9967-C29B8B179026}" type="PERCENTAGE">
                      <a:rPr lang="en-US" sz="800"/>
                      <a:pPr>
                        <a:defRPr sz="800"/>
                      </a:pPr>
                      <a:t>[PERCENTAGE]</a:t>
                    </a:fld>
                    <a:endParaRPr lang="en-IN"/>
                  </a:p>
                </c:rich>
              </c:tx>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layout>
                    <c:manualLayout>
                      <c:w val="0.18093961954418114"/>
                      <c:h val="0.14158746001136779"/>
                    </c:manualLayout>
                  </c15:layout>
                  <c15:dlblFieldTable/>
                  <c15:showDataLabelsRange val="0"/>
                </c:ext>
                <c:ext xmlns:c16="http://schemas.microsoft.com/office/drawing/2014/chart" uri="{C3380CC4-5D6E-409C-BE32-E72D297353CC}">
                  <c16:uniqueId val="{00000001-5E75-432E-93D8-BB10BDE3279C}"/>
                </c:ext>
              </c:extLst>
            </c:dLbl>
            <c:dLbl>
              <c:idx val="1"/>
              <c:layout>
                <c:manualLayout>
                  <c:x val="-5.0075540464256794E-2"/>
                  <c:y val="0.3037262669012506"/>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E75-432E-93D8-BB10BDE3279C}"/>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reports'!$K$52:$K$54</c:f>
              <c:strCache>
                <c:ptCount val="2"/>
                <c:pt idx="0">
                  <c:v>Female</c:v>
                </c:pt>
                <c:pt idx="1">
                  <c:v>Male</c:v>
                </c:pt>
              </c:strCache>
            </c:strRef>
          </c:cat>
          <c:val>
            <c:numRef>
              <c:f>'Pivot reports'!$L$52:$L$54</c:f>
              <c:numCache>
                <c:formatCode>0.00</c:formatCode>
                <c:ptCount val="2"/>
                <c:pt idx="0">
                  <c:v>194</c:v>
                </c:pt>
                <c:pt idx="1">
                  <c:v>237</c:v>
                </c:pt>
              </c:numCache>
            </c:numRef>
          </c:val>
          <c:extLst>
            <c:ext xmlns:c16="http://schemas.microsoft.com/office/drawing/2014/chart" uri="{C3380CC4-5D6E-409C-BE32-E72D297353CC}">
              <c16:uniqueId val="{00000009-F3C1-42E7-8B9E-14FE47450DA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t"/>
      <c:layout>
        <c:manualLayout>
          <c:xMode val="edge"/>
          <c:yMode val="edge"/>
          <c:x val="0.16624685138539042"/>
          <c:y val="1.0124208896708356E-2"/>
          <c:w val="0.64942804607107918"/>
          <c:h val="0.16830576717835713"/>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cleaning.csv.xlsx]Pivot reports!PivotTable11</c:name>
    <c:fmtId val="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49986707440285"/>
          <c:y val="9.5991441560130897E-2"/>
          <c:w val="0.51454226712227014"/>
          <c:h val="0.80098336429412631"/>
        </c:manualLayout>
      </c:layout>
      <c:barChart>
        <c:barDir val="bar"/>
        <c:grouping val="clustered"/>
        <c:varyColors val="0"/>
        <c:ser>
          <c:idx val="0"/>
          <c:order val="0"/>
          <c:tx>
            <c:strRef>
              <c:f>'Pivot reports'!$L$59</c:f>
              <c:strCache>
                <c:ptCount val="1"/>
                <c:pt idx="0">
                  <c:v>Total</c:v>
                </c:pt>
              </c:strCache>
            </c:strRef>
          </c:tx>
          <c:spPr>
            <a:solidFill>
              <a:srgbClr val="00B0F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reports'!$K$60:$K$68</c:f>
              <c:strCache>
                <c:ptCount val="8"/>
                <c:pt idx="0">
                  <c:v>None</c:v>
                </c:pt>
                <c:pt idx="1">
                  <c:v>General Practice</c:v>
                </c:pt>
                <c:pt idx="2">
                  <c:v>Orthopedics</c:v>
                </c:pt>
                <c:pt idx="3">
                  <c:v>Physiotherapy</c:v>
                </c:pt>
                <c:pt idx="4">
                  <c:v>Cardiology</c:v>
                </c:pt>
                <c:pt idx="5">
                  <c:v>Gastroenterology</c:v>
                </c:pt>
                <c:pt idx="6">
                  <c:v>Renal</c:v>
                </c:pt>
                <c:pt idx="7">
                  <c:v>Neurology</c:v>
                </c:pt>
              </c:strCache>
            </c:strRef>
          </c:cat>
          <c:val>
            <c:numRef>
              <c:f>'Pivot reports'!$L$60:$L$68</c:f>
              <c:numCache>
                <c:formatCode>0.00</c:formatCode>
                <c:ptCount val="8"/>
                <c:pt idx="0">
                  <c:v>252</c:v>
                </c:pt>
                <c:pt idx="1">
                  <c:v>89</c:v>
                </c:pt>
                <c:pt idx="2">
                  <c:v>46</c:v>
                </c:pt>
                <c:pt idx="3">
                  <c:v>14</c:v>
                </c:pt>
                <c:pt idx="4">
                  <c:v>12</c:v>
                </c:pt>
                <c:pt idx="5">
                  <c:v>6</c:v>
                </c:pt>
                <c:pt idx="6">
                  <c:v>6</c:v>
                </c:pt>
                <c:pt idx="7">
                  <c:v>6</c:v>
                </c:pt>
              </c:numCache>
            </c:numRef>
          </c:val>
          <c:extLst>
            <c:ext xmlns:c16="http://schemas.microsoft.com/office/drawing/2014/chart" uri="{C3380CC4-5D6E-409C-BE32-E72D297353CC}">
              <c16:uniqueId val="{00000005-21B2-459C-A12C-1B389DFC23AE}"/>
            </c:ext>
          </c:extLst>
        </c:ser>
        <c:dLbls>
          <c:showLegendKey val="0"/>
          <c:showVal val="0"/>
          <c:showCatName val="0"/>
          <c:showSerName val="0"/>
          <c:showPercent val="0"/>
          <c:showBubbleSize val="0"/>
        </c:dLbls>
        <c:gapWidth val="115"/>
        <c:overlap val="-20"/>
        <c:axId val="974266015"/>
        <c:axId val="1171169263"/>
      </c:barChart>
      <c:catAx>
        <c:axId val="974266015"/>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1169263"/>
        <c:crosses val="autoZero"/>
        <c:auto val="1"/>
        <c:lblAlgn val="ctr"/>
        <c:lblOffset val="100"/>
        <c:noMultiLvlLbl val="0"/>
      </c:catAx>
      <c:valAx>
        <c:axId val="1171169263"/>
        <c:scaling>
          <c:orientation val="minMax"/>
        </c:scaling>
        <c:delete val="1"/>
        <c:axPos val="b"/>
        <c:numFmt formatCode="0.00" sourceLinked="1"/>
        <c:majorTickMark val="out"/>
        <c:minorTickMark val="none"/>
        <c:tickLblPos val="nextTo"/>
        <c:crossAx val="974266015"/>
        <c:crosses val="autoZero"/>
        <c:crossBetween val="between"/>
      </c:valAx>
      <c:spPr>
        <a:solidFill>
          <a:srgbClr val="0070C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cleaning.csv.xlsx]Pivot reports!PivotTable4</c:name>
    <c:fmtId val="25"/>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74000"/>
            </a:schemeClr>
          </a:solidFill>
          <a:ln w="25400">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846998105057493E-2"/>
          <c:y val="0.14610993536875083"/>
          <c:w val="0.91166831444275742"/>
          <c:h val="0.70238191569927289"/>
        </c:manualLayout>
      </c:layout>
      <c:areaChart>
        <c:grouping val="standard"/>
        <c:varyColors val="0"/>
        <c:ser>
          <c:idx val="0"/>
          <c:order val="0"/>
          <c:tx>
            <c:strRef>
              <c:f>'Pivot reports'!$O$5</c:f>
              <c:strCache>
                <c:ptCount val="1"/>
                <c:pt idx="0">
                  <c:v>Total</c:v>
                </c:pt>
              </c:strCache>
            </c:strRef>
          </c:tx>
          <c:spPr>
            <a:solidFill>
              <a:schemeClr val="accent1">
                <a:alpha val="74000"/>
              </a:schemeClr>
            </a:solidFill>
            <a:ln w="25400">
              <a:noFill/>
            </a:ln>
            <a:effectLst>
              <a:innerShdw blurRad="114300">
                <a:schemeClr val="accent1">
                  <a:lumMod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reports'!$N$6:$N$35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reports'!$O$6:$O$35</c:f>
              <c:numCache>
                <c:formatCode>0.00</c:formatCode>
                <c:ptCount val="29"/>
                <c:pt idx="0">
                  <c:v>35.692307692307693</c:v>
                </c:pt>
                <c:pt idx="1">
                  <c:v>45.4</c:v>
                </c:pt>
                <c:pt idx="2">
                  <c:v>29.375</c:v>
                </c:pt>
                <c:pt idx="3">
                  <c:v>34.583333333333336</c:v>
                </c:pt>
                <c:pt idx="4">
                  <c:v>38.684210526315788</c:v>
                </c:pt>
                <c:pt idx="5">
                  <c:v>34.777777777777779</c:v>
                </c:pt>
                <c:pt idx="6">
                  <c:v>37.307692307692307</c:v>
                </c:pt>
                <c:pt idx="7">
                  <c:v>35.631578947368418</c:v>
                </c:pt>
                <c:pt idx="8">
                  <c:v>36.6</c:v>
                </c:pt>
                <c:pt idx="9">
                  <c:v>39.700000000000003</c:v>
                </c:pt>
                <c:pt idx="10">
                  <c:v>37.4</c:v>
                </c:pt>
                <c:pt idx="11">
                  <c:v>27.76923076923077</c:v>
                </c:pt>
                <c:pt idx="12">
                  <c:v>38.777777777777779</c:v>
                </c:pt>
                <c:pt idx="13">
                  <c:v>31</c:v>
                </c:pt>
                <c:pt idx="14">
                  <c:v>35.928571428571431</c:v>
                </c:pt>
                <c:pt idx="15">
                  <c:v>37.882352941176471</c:v>
                </c:pt>
                <c:pt idx="16">
                  <c:v>40.588235294117645</c:v>
                </c:pt>
                <c:pt idx="17">
                  <c:v>34.533333333333331</c:v>
                </c:pt>
                <c:pt idx="18">
                  <c:v>40.333333333333336</c:v>
                </c:pt>
                <c:pt idx="19">
                  <c:v>35.285714285714285</c:v>
                </c:pt>
                <c:pt idx="20">
                  <c:v>35.5</c:v>
                </c:pt>
                <c:pt idx="21">
                  <c:v>38.5625</c:v>
                </c:pt>
                <c:pt idx="22">
                  <c:v>42.727272727272727</c:v>
                </c:pt>
                <c:pt idx="23">
                  <c:v>37.416666666666664</c:v>
                </c:pt>
                <c:pt idx="24">
                  <c:v>32.450000000000003</c:v>
                </c:pt>
                <c:pt idx="25">
                  <c:v>40.055555555555557</c:v>
                </c:pt>
                <c:pt idx="26">
                  <c:v>31.666666666666668</c:v>
                </c:pt>
                <c:pt idx="27">
                  <c:v>39.769230769230766</c:v>
                </c:pt>
                <c:pt idx="28">
                  <c:v>36.733333333333334</c:v>
                </c:pt>
              </c:numCache>
            </c:numRef>
          </c:val>
          <c:extLst>
            <c:ext xmlns:c16="http://schemas.microsoft.com/office/drawing/2014/chart" uri="{C3380CC4-5D6E-409C-BE32-E72D297353CC}">
              <c16:uniqueId val="{00000004-19D5-4F92-92A3-65A9B989A7F7}"/>
            </c:ext>
          </c:extLst>
        </c:ser>
        <c:dLbls>
          <c:showLegendKey val="0"/>
          <c:showVal val="1"/>
          <c:showCatName val="0"/>
          <c:showSerName val="0"/>
          <c:showPercent val="0"/>
          <c:showBubbleSize val="0"/>
        </c:dLbls>
        <c:dropLines>
          <c:spPr>
            <a:ln w="9525">
              <a:solidFill>
                <a:srgbClr val="0033CC"/>
              </a:solidFill>
              <a:round/>
            </a:ln>
            <a:effectLst/>
          </c:spPr>
        </c:dropLines>
        <c:axId val="926305407"/>
        <c:axId val="792484367"/>
      </c:areaChart>
      <c:catAx>
        <c:axId val="926305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792484367"/>
        <c:crosses val="autoZero"/>
        <c:auto val="1"/>
        <c:lblAlgn val="ctr"/>
        <c:lblOffset val="100"/>
        <c:noMultiLvlLbl val="0"/>
      </c:catAx>
      <c:valAx>
        <c:axId val="792484367"/>
        <c:scaling>
          <c:orientation val="minMax"/>
        </c:scaling>
        <c:delete val="1"/>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crossAx val="926305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cleaning.csv.xlsx]Pivot reports!PivotTable5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1.7620487715675811E-3"/>
              <c:y val="-0.16708093049845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30855582898915"/>
          <c:y val="0.11781836795897248"/>
          <c:w val="0.82670846930823216"/>
          <c:h val="0.65702931421171618"/>
        </c:manualLayout>
      </c:layout>
      <c:areaChart>
        <c:grouping val="standard"/>
        <c:varyColors val="0"/>
        <c:ser>
          <c:idx val="0"/>
          <c:order val="0"/>
          <c:tx>
            <c:strRef>
              <c:f>'Pivot reports'!$I$5</c:f>
              <c:strCache>
                <c:ptCount val="1"/>
                <c:pt idx="0">
                  <c:v>Total</c:v>
                </c:pt>
              </c:strCache>
            </c:strRef>
          </c:tx>
          <c:spPr>
            <a:solidFill>
              <a:srgbClr val="0070C0"/>
            </a:soli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'Pivot reports'!$H$6:$H$35</c:f>
              <c:strCache>
                <c:ptCount val="29"/>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strCache>
            </c:strRef>
          </c:cat>
          <c:val>
            <c:numRef>
              <c:f>'Pivot reports'!$I$6:$I$35</c:f>
              <c:numCache>
                <c:formatCode>General</c:formatCode>
                <c:ptCount val="29"/>
                <c:pt idx="0">
                  <c:v>13</c:v>
                </c:pt>
                <c:pt idx="1">
                  <c:v>10</c:v>
                </c:pt>
                <c:pt idx="2">
                  <c:v>8</c:v>
                </c:pt>
                <c:pt idx="3">
                  <c:v>12</c:v>
                </c:pt>
                <c:pt idx="4">
                  <c:v>19</c:v>
                </c:pt>
                <c:pt idx="5">
                  <c:v>9</c:v>
                </c:pt>
                <c:pt idx="6">
                  <c:v>13</c:v>
                </c:pt>
                <c:pt idx="7">
                  <c:v>19</c:v>
                </c:pt>
                <c:pt idx="8">
                  <c:v>10</c:v>
                </c:pt>
                <c:pt idx="9">
                  <c:v>20</c:v>
                </c:pt>
                <c:pt idx="10">
                  <c:v>15</c:v>
                </c:pt>
                <c:pt idx="11">
                  <c:v>13</c:v>
                </c:pt>
                <c:pt idx="12">
                  <c:v>9</c:v>
                </c:pt>
                <c:pt idx="13">
                  <c:v>19</c:v>
                </c:pt>
                <c:pt idx="14">
                  <c:v>14</c:v>
                </c:pt>
                <c:pt idx="15">
                  <c:v>17</c:v>
                </c:pt>
                <c:pt idx="16">
                  <c:v>17</c:v>
                </c:pt>
                <c:pt idx="17">
                  <c:v>15</c:v>
                </c:pt>
                <c:pt idx="18">
                  <c:v>9</c:v>
                </c:pt>
                <c:pt idx="19">
                  <c:v>14</c:v>
                </c:pt>
                <c:pt idx="20">
                  <c:v>22</c:v>
                </c:pt>
                <c:pt idx="21">
                  <c:v>16</c:v>
                </c:pt>
                <c:pt idx="22">
                  <c:v>22</c:v>
                </c:pt>
                <c:pt idx="23">
                  <c:v>12</c:v>
                </c:pt>
                <c:pt idx="24">
                  <c:v>20</c:v>
                </c:pt>
                <c:pt idx="25">
                  <c:v>18</c:v>
                </c:pt>
                <c:pt idx="26">
                  <c:v>18</c:v>
                </c:pt>
                <c:pt idx="27">
                  <c:v>13</c:v>
                </c:pt>
                <c:pt idx="28">
                  <c:v>15</c:v>
                </c:pt>
              </c:numCache>
            </c:numRef>
          </c:val>
          <c:extLst>
            <c:ext xmlns:c16="http://schemas.microsoft.com/office/drawing/2014/chart" uri="{C3380CC4-5D6E-409C-BE32-E72D297353CC}">
              <c16:uniqueId val="{00000005-4327-4E91-97B7-E7A4D545D68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121264175"/>
        <c:axId val="2114392399"/>
      </c:areaChart>
      <c:catAx>
        <c:axId val="2121264175"/>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14392399"/>
        <c:crosses val="autoZero"/>
        <c:auto val="1"/>
        <c:lblAlgn val="ctr"/>
        <c:lblOffset val="100"/>
        <c:noMultiLvlLbl val="0"/>
      </c:catAx>
      <c:valAx>
        <c:axId val="2114392399"/>
        <c:scaling>
          <c:orientation val="minMax"/>
        </c:scaling>
        <c:delete val="1"/>
        <c:axPos val="l"/>
        <c:numFmt formatCode="General" sourceLinked="1"/>
        <c:majorTickMark val="out"/>
        <c:minorTickMark val="none"/>
        <c:tickLblPos val="nextTo"/>
        <c:crossAx val="21212641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chart" Target="../charts/chart2.xml"/><Relationship Id="rId18" Type="http://schemas.openxmlformats.org/officeDocument/2006/relationships/chart" Target="../charts/chart5.xml"/><Relationship Id="rId3" Type="http://schemas.openxmlformats.org/officeDocument/2006/relationships/image" Target="../media/image2.png"/><Relationship Id="rId21" Type="http://schemas.openxmlformats.org/officeDocument/2006/relationships/chart" Target="../charts/chart8.xml"/><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image" Target="../media/image12.emf"/><Relationship Id="rId2" Type="http://schemas.openxmlformats.org/officeDocument/2006/relationships/hyperlink" Target="#'no. patients in ER'!A1"/><Relationship Id="rId16" Type="http://schemas.openxmlformats.org/officeDocument/2006/relationships/chart" Target="../charts/chart4.xml"/><Relationship Id="rId20" Type="http://schemas.openxmlformats.org/officeDocument/2006/relationships/chart" Target="../charts/chart7.xml"/><Relationship Id="rId1" Type="http://schemas.openxmlformats.org/officeDocument/2006/relationships/image" Target="../media/image1.png"/><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5" Type="http://schemas.openxmlformats.org/officeDocument/2006/relationships/chart" Target="../charts/chart3.xml"/><Relationship Id="rId10" Type="http://schemas.openxmlformats.org/officeDocument/2006/relationships/image" Target="../media/image9.svg"/><Relationship Id="rId19" Type="http://schemas.openxmlformats.org/officeDocument/2006/relationships/chart" Target="../charts/chart6.xml"/><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hyperlink" Target="#'average wait time'!A1"/></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7.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3.emf"/></Relationships>
</file>

<file path=xl/drawings/drawing1.xml><?xml version="1.0" encoding="utf-8"?>
<xdr:wsDr xmlns:xdr="http://schemas.openxmlformats.org/drawingml/2006/spreadsheetDrawing" xmlns:a="http://schemas.openxmlformats.org/drawingml/2006/main">
  <xdr:twoCellAnchor>
    <xdr:from>
      <xdr:col>2</xdr:col>
      <xdr:colOff>833438</xdr:colOff>
      <xdr:row>42</xdr:row>
      <xdr:rowOff>47625</xdr:rowOff>
    </xdr:from>
    <xdr:to>
      <xdr:col>4</xdr:col>
      <xdr:colOff>523874</xdr:colOff>
      <xdr:row>44</xdr:row>
      <xdr:rowOff>11906</xdr:rowOff>
    </xdr:to>
    <xdr:graphicFrame macro="">
      <xdr:nvGraphicFramePr>
        <xdr:cNvPr id="6" name="Chart 5">
          <a:extLst>
            <a:ext uri="{FF2B5EF4-FFF2-40B4-BE49-F238E27FC236}">
              <a16:creationId xmlns:a16="http://schemas.microsoft.com/office/drawing/2014/main" id="{B217E6F8-7F81-0A2B-3FE0-6C5FCC7D3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15009</xdr:colOff>
      <xdr:row>0</xdr:row>
      <xdr:rowOff>30171</xdr:rowOff>
    </xdr:from>
    <xdr:to>
      <xdr:col>7</xdr:col>
      <xdr:colOff>30788</xdr:colOff>
      <xdr:row>3</xdr:row>
      <xdr:rowOff>138544</xdr:rowOff>
    </xdr:to>
    <xdr:sp macro="" textlink="">
      <xdr:nvSpPr>
        <xdr:cNvPr id="2" name="Rectangle: Rounded Corners 1">
          <a:extLst>
            <a:ext uri="{FF2B5EF4-FFF2-40B4-BE49-F238E27FC236}">
              <a16:creationId xmlns:a16="http://schemas.microsoft.com/office/drawing/2014/main" id="{4CACBBC0-AC08-7361-F04E-838D84E58416}"/>
            </a:ext>
          </a:extLst>
        </xdr:cNvPr>
        <xdr:cNvSpPr/>
      </xdr:nvSpPr>
      <xdr:spPr>
        <a:xfrm>
          <a:off x="15009" y="30171"/>
          <a:ext cx="4272203" cy="662555"/>
        </a:xfrm>
        <a:prstGeom prst="roundRect">
          <a:avLst>
            <a:gd name="adj" fmla="val 19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a:p>
      </xdr:txBody>
    </xdr:sp>
    <xdr:clientData/>
  </xdr:twoCellAnchor>
  <xdr:twoCellAnchor editAs="absolute">
    <xdr:from>
      <xdr:col>7</xdr:col>
      <xdr:colOff>61346</xdr:colOff>
      <xdr:row>0</xdr:row>
      <xdr:rowOff>53110</xdr:rowOff>
    </xdr:from>
    <xdr:to>
      <xdr:col>8</xdr:col>
      <xdr:colOff>584970</xdr:colOff>
      <xdr:row>3</xdr:row>
      <xdr:rowOff>129310</xdr:rowOff>
    </xdr:to>
    <xdr:sp macro="" textlink="">
      <xdr:nvSpPr>
        <xdr:cNvPr id="3" name="Rectangle: Rounded Corners 2">
          <a:extLst>
            <a:ext uri="{FF2B5EF4-FFF2-40B4-BE49-F238E27FC236}">
              <a16:creationId xmlns:a16="http://schemas.microsoft.com/office/drawing/2014/main" id="{F6D1BF34-6E73-FCDD-F23C-83670E60D509}"/>
            </a:ext>
          </a:extLst>
        </xdr:cNvPr>
        <xdr:cNvSpPr/>
      </xdr:nvSpPr>
      <xdr:spPr>
        <a:xfrm>
          <a:off x="4317770" y="53110"/>
          <a:ext cx="1270230" cy="630382"/>
        </a:xfrm>
        <a:prstGeom prst="roundRect">
          <a:avLst>
            <a:gd name="adj" fmla="val 19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23935</xdr:colOff>
      <xdr:row>0</xdr:row>
      <xdr:rowOff>46182</xdr:rowOff>
    </xdr:from>
    <xdr:to>
      <xdr:col>11</xdr:col>
      <xdr:colOff>438726</xdr:colOff>
      <xdr:row>9</xdr:row>
      <xdr:rowOff>46182</xdr:rowOff>
    </xdr:to>
    <xdr:sp macro="" textlink="">
      <xdr:nvSpPr>
        <xdr:cNvPr id="4" name="Rectangle: Rounded Corners 3">
          <a:extLst>
            <a:ext uri="{FF2B5EF4-FFF2-40B4-BE49-F238E27FC236}">
              <a16:creationId xmlns:a16="http://schemas.microsoft.com/office/drawing/2014/main" id="{00F1E0A0-67D8-24ED-FF9A-97AB9CECA6F2}"/>
            </a:ext>
          </a:extLst>
        </xdr:cNvPr>
        <xdr:cNvSpPr/>
      </xdr:nvSpPr>
      <xdr:spPr>
        <a:xfrm>
          <a:off x="5635026" y="46182"/>
          <a:ext cx="1607821" cy="1662545"/>
        </a:xfrm>
        <a:prstGeom prst="roundRect">
          <a:avLst>
            <a:gd name="adj" fmla="val 19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454120</xdr:colOff>
      <xdr:row>0</xdr:row>
      <xdr:rowOff>69273</xdr:rowOff>
    </xdr:from>
    <xdr:to>
      <xdr:col>14</xdr:col>
      <xdr:colOff>377151</xdr:colOff>
      <xdr:row>9</xdr:row>
      <xdr:rowOff>15394</xdr:rowOff>
    </xdr:to>
    <xdr:sp macro="" textlink="">
      <xdr:nvSpPr>
        <xdr:cNvPr id="5" name="Rectangle: Rounded Corners 4">
          <a:extLst>
            <a:ext uri="{FF2B5EF4-FFF2-40B4-BE49-F238E27FC236}">
              <a16:creationId xmlns:a16="http://schemas.microsoft.com/office/drawing/2014/main" id="{EF053F3A-ACD0-9B1F-A9F8-D78B2BC5FF7F}"/>
            </a:ext>
          </a:extLst>
        </xdr:cNvPr>
        <xdr:cNvSpPr/>
      </xdr:nvSpPr>
      <xdr:spPr>
        <a:xfrm>
          <a:off x="7258241" y="69273"/>
          <a:ext cx="1747213" cy="1608666"/>
        </a:xfrm>
        <a:prstGeom prst="roundRect">
          <a:avLst>
            <a:gd name="adj" fmla="val 19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0</xdr:colOff>
      <xdr:row>3</xdr:row>
      <xdr:rowOff>169332</xdr:rowOff>
    </xdr:from>
    <xdr:to>
      <xdr:col>1</xdr:col>
      <xdr:colOff>400627</xdr:colOff>
      <xdr:row>23</xdr:row>
      <xdr:rowOff>30788</xdr:rowOff>
    </xdr:to>
    <xdr:sp macro="" textlink="">
      <xdr:nvSpPr>
        <xdr:cNvPr id="6" name="Rectangle: Rounded Corners 5">
          <a:extLst>
            <a:ext uri="{FF2B5EF4-FFF2-40B4-BE49-F238E27FC236}">
              <a16:creationId xmlns:a16="http://schemas.microsoft.com/office/drawing/2014/main" id="{7954A8E4-94FD-93BA-49B8-2850C865B74D}"/>
            </a:ext>
          </a:extLst>
        </xdr:cNvPr>
        <xdr:cNvSpPr/>
      </xdr:nvSpPr>
      <xdr:spPr>
        <a:xfrm>
          <a:off x="0" y="723514"/>
          <a:ext cx="1008688" cy="3556001"/>
        </a:xfrm>
        <a:prstGeom prst="roundRect">
          <a:avLst>
            <a:gd name="adj" fmla="val 19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384849</xdr:colOff>
      <xdr:row>3</xdr:row>
      <xdr:rowOff>169332</xdr:rowOff>
    </xdr:from>
    <xdr:to>
      <xdr:col>3</xdr:col>
      <xdr:colOff>592666</xdr:colOff>
      <xdr:row>9</xdr:row>
      <xdr:rowOff>115455</xdr:rowOff>
    </xdr:to>
    <xdr:sp macro="" textlink="">
      <xdr:nvSpPr>
        <xdr:cNvPr id="9" name="Rectangle: Rounded Corners 8">
          <a:extLst>
            <a:ext uri="{FF2B5EF4-FFF2-40B4-BE49-F238E27FC236}">
              <a16:creationId xmlns:a16="http://schemas.microsoft.com/office/drawing/2014/main" id="{9D4C9031-7483-5174-E757-D25E5EFD3C43}"/>
            </a:ext>
          </a:extLst>
        </xdr:cNvPr>
        <xdr:cNvSpPr/>
      </xdr:nvSpPr>
      <xdr:spPr>
        <a:xfrm>
          <a:off x="992910" y="723514"/>
          <a:ext cx="1423938" cy="1054486"/>
        </a:xfrm>
        <a:prstGeom prst="roundRect">
          <a:avLst>
            <a:gd name="adj" fmla="val 19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23091</xdr:colOff>
      <xdr:row>3</xdr:row>
      <xdr:rowOff>161635</xdr:rowOff>
    </xdr:from>
    <xdr:to>
      <xdr:col>6</xdr:col>
      <xdr:colOff>269392</xdr:colOff>
      <xdr:row>9</xdr:row>
      <xdr:rowOff>107758</xdr:rowOff>
    </xdr:to>
    <xdr:sp macro="" textlink="">
      <xdr:nvSpPr>
        <xdr:cNvPr id="10" name="Rectangle: Rounded Corners 9">
          <a:extLst>
            <a:ext uri="{FF2B5EF4-FFF2-40B4-BE49-F238E27FC236}">
              <a16:creationId xmlns:a16="http://schemas.microsoft.com/office/drawing/2014/main" id="{14EE5316-AFFF-2071-E745-77F64CA7EA3F}"/>
            </a:ext>
          </a:extLst>
        </xdr:cNvPr>
        <xdr:cNvSpPr/>
      </xdr:nvSpPr>
      <xdr:spPr>
        <a:xfrm>
          <a:off x="2455333" y="715817"/>
          <a:ext cx="1462423" cy="1054486"/>
        </a:xfrm>
        <a:prstGeom prst="roundRect">
          <a:avLst>
            <a:gd name="adj" fmla="val 19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323273</xdr:colOff>
      <xdr:row>3</xdr:row>
      <xdr:rowOff>153937</xdr:rowOff>
    </xdr:from>
    <xdr:to>
      <xdr:col>8</xdr:col>
      <xdr:colOff>538788</xdr:colOff>
      <xdr:row>9</xdr:row>
      <xdr:rowOff>115454</xdr:rowOff>
    </xdr:to>
    <xdr:sp macro="" textlink="">
      <xdr:nvSpPr>
        <xdr:cNvPr id="13" name="Rectangle: Rounded Corners 12">
          <a:extLst>
            <a:ext uri="{FF2B5EF4-FFF2-40B4-BE49-F238E27FC236}">
              <a16:creationId xmlns:a16="http://schemas.microsoft.com/office/drawing/2014/main" id="{E8D201B2-98A0-970D-13EB-ED202B6A1192}"/>
            </a:ext>
          </a:extLst>
        </xdr:cNvPr>
        <xdr:cNvSpPr/>
      </xdr:nvSpPr>
      <xdr:spPr>
        <a:xfrm>
          <a:off x="3971637" y="708119"/>
          <a:ext cx="1570181" cy="1069880"/>
        </a:xfrm>
        <a:prstGeom prst="roundRect">
          <a:avLst>
            <a:gd name="adj" fmla="val 19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438728</xdr:colOff>
      <xdr:row>9</xdr:row>
      <xdr:rowOff>169332</xdr:rowOff>
    </xdr:from>
    <xdr:to>
      <xdr:col>8</xdr:col>
      <xdr:colOff>561879</xdr:colOff>
      <xdr:row>14</xdr:row>
      <xdr:rowOff>181232</xdr:rowOff>
    </xdr:to>
    <xdr:sp macro="" textlink="">
      <xdr:nvSpPr>
        <xdr:cNvPr id="14" name="Rectangle: Rounded Corners 13">
          <a:extLst>
            <a:ext uri="{FF2B5EF4-FFF2-40B4-BE49-F238E27FC236}">
              <a16:creationId xmlns:a16="http://schemas.microsoft.com/office/drawing/2014/main" id="{E8BF29E6-0393-15A2-9665-5265D268CC64}"/>
            </a:ext>
          </a:extLst>
        </xdr:cNvPr>
        <xdr:cNvSpPr/>
      </xdr:nvSpPr>
      <xdr:spPr>
        <a:xfrm>
          <a:off x="1046789" y="1831877"/>
          <a:ext cx="4518120" cy="939032"/>
        </a:xfrm>
        <a:prstGeom prst="roundRect">
          <a:avLst>
            <a:gd name="adj" fmla="val 19370"/>
          </a:avLst>
        </a:prstGeom>
        <a:solidFill>
          <a:schemeClr val="bg1"/>
        </a:solidFill>
        <a:ln>
          <a:solidFill>
            <a:schemeClr val="accent1">
              <a:shade val="15000"/>
              <a:alpha val="96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454122</xdr:colOff>
      <xdr:row>15</xdr:row>
      <xdr:rowOff>69271</xdr:rowOff>
    </xdr:from>
    <xdr:to>
      <xdr:col>8</xdr:col>
      <xdr:colOff>577273</xdr:colOff>
      <xdr:row>23</xdr:row>
      <xdr:rowOff>15394</xdr:rowOff>
    </xdr:to>
    <xdr:sp macro="" textlink="">
      <xdr:nvSpPr>
        <xdr:cNvPr id="15" name="Rectangle: Rounded Corners 14">
          <a:extLst>
            <a:ext uri="{FF2B5EF4-FFF2-40B4-BE49-F238E27FC236}">
              <a16:creationId xmlns:a16="http://schemas.microsoft.com/office/drawing/2014/main" id="{AD8F6A8F-E49D-B3DB-8840-2BD25682B3B1}"/>
            </a:ext>
          </a:extLst>
        </xdr:cNvPr>
        <xdr:cNvSpPr/>
      </xdr:nvSpPr>
      <xdr:spPr>
        <a:xfrm>
          <a:off x="1062183" y="2840180"/>
          <a:ext cx="4518120" cy="1423941"/>
        </a:xfrm>
        <a:prstGeom prst="roundRect">
          <a:avLst>
            <a:gd name="adj" fmla="val 19370"/>
          </a:avLst>
        </a:prstGeom>
        <a:solidFill>
          <a:schemeClr val="bg1"/>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7698</xdr:colOff>
      <xdr:row>9</xdr:row>
      <xdr:rowOff>92366</xdr:rowOff>
    </xdr:from>
    <xdr:to>
      <xdr:col>14</xdr:col>
      <xdr:colOff>384850</xdr:colOff>
      <xdr:row>23</xdr:row>
      <xdr:rowOff>38486</xdr:rowOff>
    </xdr:to>
    <xdr:sp macro="" textlink="">
      <xdr:nvSpPr>
        <xdr:cNvPr id="16" name="Rectangle: Rounded Corners 15">
          <a:extLst>
            <a:ext uri="{FF2B5EF4-FFF2-40B4-BE49-F238E27FC236}">
              <a16:creationId xmlns:a16="http://schemas.microsoft.com/office/drawing/2014/main" id="{43D72FAB-8A12-A71F-01F6-DF9E0CF83CE9}"/>
            </a:ext>
          </a:extLst>
        </xdr:cNvPr>
        <xdr:cNvSpPr/>
      </xdr:nvSpPr>
      <xdr:spPr>
        <a:xfrm>
          <a:off x="5618789" y="1754911"/>
          <a:ext cx="3394364" cy="2532302"/>
        </a:xfrm>
        <a:prstGeom prst="roundRect">
          <a:avLst>
            <a:gd name="adj" fmla="val 1937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161635</xdr:colOff>
      <xdr:row>0</xdr:row>
      <xdr:rowOff>107760</xdr:rowOff>
    </xdr:from>
    <xdr:to>
      <xdr:col>5</xdr:col>
      <xdr:colOff>292484</xdr:colOff>
      <xdr:row>1</xdr:row>
      <xdr:rowOff>169335</xdr:rowOff>
    </xdr:to>
    <xdr:sp macro="" textlink="">
      <xdr:nvSpPr>
        <xdr:cNvPr id="17" name="TextBox 16">
          <a:extLst>
            <a:ext uri="{FF2B5EF4-FFF2-40B4-BE49-F238E27FC236}">
              <a16:creationId xmlns:a16="http://schemas.microsoft.com/office/drawing/2014/main" id="{9024E2FA-1EAE-0407-649A-2C2371926DF5}"/>
            </a:ext>
          </a:extLst>
        </xdr:cNvPr>
        <xdr:cNvSpPr txBox="1"/>
      </xdr:nvSpPr>
      <xdr:spPr>
        <a:xfrm>
          <a:off x="769696" y="107760"/>
          <a:ext cx="2563091" cy="2463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200" b="1" i="1"/>
            <a:t>Hospital</a:t>
          </a:r>
          <a:r>
            <a:rPr lang="en-IN" sz="1200" b="1" i="1" baseline="0"/>
            <a:t> Emergency Room Dashboard</a:t>
          </a:r>
          <a:endParaRPr lang="en-IN" sz="1200" b="1" i="1" baseline="0">
            <a:ln>
              <a:noFill/>
            </a:ln>
          </a:endParaRPr>
        </a:p>
        <a:p>
          <a:endParaRPr lang="en-IN" sz="1100"/>
        </a:p>
      </xdr:txBody>
    </xdr:sp>
    <xdr:clientData/>
  </xdr:twoCellAnchor>
  <xdr:twoCellAnchor editAs="oneCell">
    <xdr:from>
      <xdr:col>0</xdr:col>
      <xdr:colOff>0</xdr:colOff>
      <xdr:row>0</xdr:row>
      <xdr:rowOff>30788</xdr:rowOff>
    </xdr:from>
    <xdr:to>
      <xdr:col>1</xdr:col>
      <xdr:colOff>207818</xdr:colOff>
      <xdr:row>3</xdr:row>
      <xdr:rowOff>76969</xdr:rowOff>
    </xdr:to>
    <xdr:pic>
      <xdr:nvPicPr>
        <xdr:cNvPr id="19" name="Picture 18">
          <a:extLst>
            <a:ext uri="{FF2B5EF4-FFF2-40B4-BE49-F238E27FC236}">
              <a16:creationId xmlns:a16="http://schemas.microsoft.com/office/drawing/2014/main" id="{94F035C0-D1B5-55B0-ECED-023D3CECF30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0339" t="4286" r="18644"/>
        <a:stretch>
          <a:fillRect/>
        </a:stretch>
      </xdr:blipFill>
      <xdr:spPr>
        <a:xfrm>
          <a:off x="0" y="30788"/>
          <a:ext cx="815879" cy="600363"/>
        </a:xfrm>
        <a:prstGeom prst="rect">
          <a:avLst/>
        </a:prstGeom>
      </xdr:spPr>
    </xdr:pic>
    <xdr:clientData/>
  </xdr:twoCellAnchor>
  <xdr:twoCellAnchor editAs="absolute">
    <xdr:from>
      <xdr:col>2</xdr:col>
      <xdr:colOff>307879</xdr:colOff>
      <xdr:row>2</xdr:row>
      <xdr:rowOff>0</xdr:rowOff>
    </xdr:from>
    <xdr:to>
      <xdr:col>4</xdr:col>
      <xdr:colOff>200122</xdr:colOff>
      <xdr:row>3</xdr:row>
      <xdr:rowOff>76970</xdr:rowOff>
    </xdr:to>
    <xdr:sp macro="" textlink="">
      <xdr:nvSpPr>
        <xdr:cNvPr id="20" name="TextBox 19">
          <a:extLst>
            <a:ext uri="{FF2B5EF4-FFF2-40B4-BE49-F238E27FC236}">
              <a16:creationId xmlns:a16="http://schemas.microsoft.com/office/drawing/2014/main" id="{529DFF46-311B-4386-C38C-3AEFAA431DA3}"/>
            </a:ext>
          </a:extLst>
        </xdr:cNvPr>
        <xdr:cNvSpPr txBox="1"/>
      </xdr:nvSpPr>
      <xdr:spPr>
        <a:xfrm>
          <a:off x="1524000" y="369455"/>
          <a:ext cx="1108364" cy="261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i="1" baseline="0">
              <a:ln>
                <a:noFill/>
              </a:ln>
            </a:rPr>
            <a:t>Monthly Report</a:t>
          </a:r>
        </a:p>
        <a:p>
          <a:endParaRPr lang="en-IN" sz="1000" b="1" i="1" baseline="0">
            <a:ln>
              <a:noFill/>
            </a:ln>
          </a:endParaRPr>
        </a:p>
        <a:p>
          <a:endParaRPr lang="en-IN" sz="1000"/>
        </a:p>
      </xdr:txBody>
    </xdr:sp>
    <xdr:clientData/>
  </xdr:twoCellAnchor>
  <xdr:twoCellAnchor editAs="absolute">
    <xdr:from>
      <xdr:col>1</xdr:col>
      <xdr:colOff>461818</xdr:colOff>
      <xdr:row>6</xdr:row>
      <xdr:rowOff>61575</xdr:rowOff>
    </xdr:from>
    <xdr:to>
      <xdr:col>4</xdr:col>
      <xdr:colOff>7697</xdr:colOff>
      <xdr:row>7</xdr:row>
      <xdr:rowOff>84667</xdr:rowOff>
    </xdr:to>
    <xdr:sp macro="" textlink="">
      <xdr:nvSpPr>
        <xdr:cNvPr id="22" name="TextBox 21">
          <a:hlinkClick xmlns:r="http://schemas.openxmlformats.org/officeDocument/2006/relationships" r:id="rId2"/>
          <a:extLst>
            <a:ext uri="{FF2B5EF4-FFF2-40B4-BE49-F238E27FC236}">
              <a16:creationId xmlns:a16="http://schemas.microsoft.com/office/drawing/2014/main" id="{C37D9726-CECD-F4C5-E1CD-D17A81EA0BD8}"/>
            </a:ext>
          </a:extLst>
        </xdr:cNvPr>
        <xdr:cNvSpPr txBox="1"/>
      </xdr:nvSpPr>
      <xdr:spPr>
        <a:xfrm>
          <a:off x="1069879" y="1169939"/>
          <a:ext cx="1370060" cy="207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i="1" baseline="0">
              <a:ln>
                <a:noFill/>
              </a:ln>
            </a:rPr>
            <a:t>         no.of Patients</a:t>
          </a:r>
        </a:p>
        <a:p>
          <a:endParaRPr lang="en-IN" sz="1000" b="1" i="1" baseline="0">
            <a:ln>
              <a:noFill/>
            </a:ln>
          </a:endParaRPr>
        </a:p>
        <a:p>
          <a:endParaRPr lang="en-IN" sz="1000" b="1" i="1" baseline="0">
            <a:ln>
              <a:noFill/>
            </a:ln>
          </a:endParaRPr>
        </a:p>
        <a:p>
          <a:endParaRPr lang="en-IN" sz="1000"/>
        </a:p>
      </xdr:txBody>
    </xdr:sp>
    <xdr:clientData/>
  </xdr:twoCellAnchor>
  <xdr:twoCellAnchor editAs="absolute">
    <xdr:from>
      <xdr:col>2</xdr:col>
      <xdr:colOff>400243</xdr:colOff>
      <xdr:row>5</xdr:row>
      <xdr:rowOff>115455</xdr:rowOff>
    </xdr:from>
    <xdr:to>
      <xdr:col>4</xdr:col>
      <xdr:colOff>600364</xdr:colOff>
      <xdr:row>6</xdr:row>
      <xdr:rowOff>123153</xdr:rowOff>
    </xdr:to>
    <xdr:sp macro="" textlink="'Pivot reports'!A5">
      <xdr:nvSpPr>
        <xdr:cNvPr id="23" name="TextBox 22">
          <a:extLst>
            <a:ext uri="{FF2B5EF4-FFF2-40B4-BE49-F238E27FC236}">
              <a16:creationId xmlns:a16="http://schemas.microsoft.com/office/drawing/2014/main" id="{846A1212-465F-6C2B-7D47-C2B21CBD70A5}"/>
            </a:ext>
          </a:extLst>
        </xdr:cNvPr>
        <xdr:cNvSpPr txBox="1"/>
      </xdr:nvSpPr>
      <xdr:spPr>
        <a:xfrm>
          <a:off x="1616364" y="1039091"/>
          <a:ext cx="1416242" cy="19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8AA6306-E4BC-440A-9288-1F3A09128C4E}" type="TxLink">
            <a:rPr lang="en-US" sz="1100" b="0" i="0" u="none" strike="noStrike" baseline="0">
              <a:ln>
                <a:noFill/>
              </a:ln>
              <a:solidFill>
                <a:srgbClr val="000000"/>
              </a:solidFill>
              <a:latin typeface="Calibri"/>
              <a:ea typeface="Calibri"/>
              <a:cs typeface="Calibri"/>
            </a:rPr>
            <a:pPr/>
            <a:t>431</a:t>
          </a:fld>
          <a:endParaRPr lang="en-US" sz="1100" b="0" i="0" u="none" strike="noStrike" baseline="0">
            <a:ln>
              <a:noFill/>
            </a:ln>
            <a:solidFill>
              <a:srgbClr val="000000"/>
            </a:solidFill>
            <a:latin typeface="Calibri"/>
            <a:ea typeface="Calibri"/>
            <a:cs typeface="Calibri"/>
          </a:endParaRPr>
        </a:p>
      </xdr:txBody>
    </xdr:sp>
    <xdr:clientData/>
  </xdr:twoCellAnchor>
  <xdr:twoCellAnchor editAs="absolute">
    <xdr:from>
      <xdr:col>4</xdr:col>
      <xdr:colOff>508002</xdr:colOff>
      <xdr:row>4</xdr:row>
      <xdr:rowOff>146242</xdr:rowOff>
    </xdr:from>
    <xdr:to>
      <xdr:col>7</xdr:col>
      <xdr:colOff>100062</xdr:colOff>
      <xdr:row>5</xdr:row>
      <xdr:rowOff>153941</xdr:rowOff>
    </xdr:to>
    <xdr:sp macro="" textlink="'Pivot reports'!A14">
      <xdr:nvSpPr>
        <xdr:cNvPr id="24" name="TextBox 23">
          <a:extLst>
            <a:ext uri="{FF2B5EF4-FFF2-40B4-BE49-F238E27FC236}">
              <a16:creationId xmlns:a16="http://schemas.microsoft.com/office/drawing/2014/main" id="{319C14E6-0E36-FA4A-77B5-90042F26FC44}"/>
            </a:ext>
          </a:extLst>
        </xdr:cNvPr>
        <xdr:cNvSpPr txBox="1"/>
      </xdr:nvSpPr>
      <xdr:spPr>
        <a:xfrm>
          <a:off x="2940244" y="885151"/>
          <a:ext cx="1416242" cy="19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C5FFC3B-256D-43F1-A759-7DEA42E90BE8}" type="TxLink">
            <a:rPr lang="en-US" sz="1100" b="0" i="0" u="none" strike="noStrike" baseline="0">
              <a:ln>
                <a:noFill/>
              </a:ln>
              <a:solidFill>
                <a:srgbClr val="000000"/>
              </a:solidFill>
              <a:latin typeface="Calibri"/>
              <a:ea typeface="Calibri"/>
              <a:cs typeface="Calibri"/>
            </a:rPr>
            <a:pPr/>
            <a:t>36.67</a:t>
          </a:fld>
          <a:endParaRPr lang="en-US" sz="1100" b="0" i="0" u="none" strike="noStrike" baseline="0">
            <a:ln>
              <a:noFill/>
            </a:ln>
            <a:solidFill>
              <a:srgbClr val="000000"/>
            </a:solidFill>
            <a:latin typeface="Calibri"/>
            <a:ea typeface="Calibri"/>
            <a:cs typeface="Calibri"/>
          </a:endParaRPr>
        </a:p>
      </xdr:txBody>
    </xdr:sp>
    <xdr:clientData/>
  </xdr:twoCellAnchor>
  <xdr:twoCellAnchor editAs="absolute">
    <xdr:from>
      <xdr:col>4</xdr:col>
      <xdr:colOff>38485</xdr:colOff>
      <xdr:row>5</xdr:row>
      <xdr:rowOff>115456</xdr:rowOff>
    </xdr:from>
    <xdr:to>
      <xdr:col>6</xdr:col>
      <xdr:colOff>192423</xdr:colOff>
      <xdr:row>6</xdr:row>
      <xdr:rowOff>138547</xdr:rowOff>
    </xdr:to>
    <xdr:sp macro="" textlink="">
      <xdr:nvSpPr>
        <xdr:cNvPr id="25" name="TextBox 24">
          <a:extLst>
            <a:ext uri="{FF2B5EF4-FFF2-40B4-BE49-F238E27FC236}">
              <a16:creationId xmlns:a16="http://schemas.microsoft.com/office/drawing/2014/main" id="{B0C71B33-1EC3-591F-5749-3B650187357E}"/>
            </a:ext>
          </a:extLst>
        </xdr:cNvPr>
        <xdr:cNvSpPr txBox="1"/>
      </xdr:nvSpPr>
      <xdr:spPr>
        <a:xfrm>
          <a:off x="2470727" y="1039092"/>
          <a:ext cx="1370060" cy="207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i="1" baseline="0">
              <a:ln>
                <a:noFill/>
              </a:ln>
            </a:rPr>
            <a:t>         Average waitime</a:t>
          </a:r>
        </a:p>
        <a:p>
          <a:endParaRPr lang="en-IN" sz="1000" b="1" i="1" baseline="0">
            <a:ln>
              <a:noFill/>
            </a:ln>
          </a:endParaRPr>
        </a:p>
        <a:p>
          <a:endParaRPr lang="en-IN" sz="1000" b="1" i="1" baseline="0">
            <a:ln>
              <a:noFill/>
            </a:ln>
          </a:endParaRPr>
        </a:p>
        <a:p>
          <a:endParaRPr lang="en-IN" sz="1000" b="1" i="1" baseline="0">
            <a:ln>
              <a:noFill/>
            </a:ln>
          </a:endParaRPr>
        </a:p>
        <a:p>
          <a:endParaRPr lang="en-IN" sz="1000"/>
        </a:p>
      </xdr:txBody>
    </xdr:sp>
    <xdr:clientData/>
  </xdr:twoCellAnchor>
  <xdr:twoCellAnchor editAs="absolute">
    <xdr:from>
      <xdr:col>7</xdr:col>
      <xdr:colOff>315576</xdr:colOff>
      <xdr:row>5</xdr:row>
      <xdr:rowOff>38484</xdr:rowOff>
    </xdr:from>
    <xdr:to>
      <xdr:col>9</xdr:col>
      <xdr:colOff>377151</xdr:colOff>
      <xdr:row>6</xdr:row>
      <xdr:rowOff>46182</xdr:rowOff>
    </xdr:to>
    <xdr:sp macro="" textlink="'Pivot reports'!A19">
      <xdr:nvSpPr>
        <xdr:cNvPr id="26" name="TextBox 25">
          <a:extLst>
            <a:ext uri="{FF2B5EF4-FFF2-40B4-BE49-F238E27FC236}">
              <a16:creationId xmlns:a16="http://schemas.microsoft.com/office/drawing/2014/main" id="{F499E3CF-C039-44F6-56FB-E56FDF971987}"/>
            </a:ext>
          </a:extLst>
        </xdr:cNvPr>
        <xdr:cNvSpPr txBox="1"/>
      </xdr:nvSpPr>
      <xdr:spPr>
        <a:xfrm>
          <a:off x="4572000" y="962120"/>
          <a:ext cx="1416242" cy="1924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5917E9C-F89C-4335-B516-F5F99ED548D6}" type="TxLink">
            <a:rPr lang="en-US" sz="1100" b="0" i="0" u="none" strike="noStrike" baseline="0">
              <a:ln>
                <a:noFill/>
              </a:ln>
              <a:solidFill>
                <a:srgbClr val="000000"/>
              </a:solidFill>
              <a:latin typeface="Calibri"/>
              <a:ea typeface="Calibri"/>
              <a:cs typeface="Calibri"/>
            </a:rPr>
            <a:pPr/>
            <a:t>4.72</a:t>
          </a:fld>
          <a:endParaRPr lang="en-US" sz="1100" b="0" i="0" u="none" strike="noStrike" baseline="0">
            <a:ln>
              <a:noFill/>
            </a:ln>
            <a:solidFill>
              <a:srgbClr val="000000"/>
            </a:solidFill>
            <a:latin typeface="Calibri"/>
            <a:ea typeface="Calibri"/>
            <a:cs typeface="Calibri"/>
          </a:endParaRPr>
        </a:p>
      </xdr:txBody>
    </xdr:sp>
    <xdr:clientData/>
  </xdr:twoCellAnchor>
  <xdr:twoCellAnchor editAs="absolute">
    <xdr:from>
      <xdr:col>6</xdr:col>
      <xdr:colOff>446424</xdr:colOff>
      <xdr:row>6</xdr:row>
      <xdr:rowOff>46181</xdr:rowOff>
    </xdr:from>
    <xdr:to>
      <xdr:col>8</xdr:col>
      <xdr:colOff>446425</xdr:colOff>
      <xdr:row>7</xdr:row>
      <xdr:rowOff>84666</xdr:rowOff>
    </xdr:to>
    <xdr:sp macro="" textlink="">
      <xdr:nvSpPr>
        <xdr:cNvPr id="27" name="TextBox 26">
          <a:extLst>
            <a:ext uri="{FF2B5EF4-FFF2-40B4-BE49-F238E27FC236}">
              <a16:creationId xmlns:a16="http://schemas.microsoft.com/office/drawing/2014/main" id="{CA9171EE-408F-024A-92ED-F7F6C1514C88}"/>
            </a:ext>
          </a:extLst>
        </xdr:cNvPr>
        <xdr:cNvSpPr txBox="1"/>
      </xdr:nvSpPr>
      <xdr:spPr>
        <a:xfrm>
          <a:off x="4094788" y="1154545"/>
          <a:ext cx="1354667" cy="223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i="1" baseline="0">
              <a:ln>
                <a:noFill/>
              </a:ln>
            </a:rPr>
            <a:t>  </a:t>
          </a:r>
          <a:r>
            <a:rPr lang="en-IN" sz="800" b="1" i="1" baseline="0">
              <a:ln>
                <a:noFill/>
              </a:ln>
            </a:rPr>
            <a:t>Average satisfaction score</a:t>
          </a:r>
        </a:p>
        <a:p>
          <a:endParaRPr lang="en-IN" sz="800" b="1" i="1" baseline="0">
            <a:ln>
              <a:noFill/>
            </a:ln>
          </a:endParaRPr>
        </a:p>
        <a:p>
          <a:endParaRPr lang="en-IN" sz="1000" b="1" i="1" baseline="0">
            <a:ln>
              <a:noFill/>
            </a:ln>
          </a:endParaRPr>
        </a:p>
        <a:p>
          <a:endParaRPr lang="en-IN" sz="1000" b="1" i="1" baseline="0">
            <a:ln>
              <a:noFill/>
            </a:ln>
          </a:endParaRPr>
        </a:p>
        <a:p>
          <a:endParaRPr lang="en-IN" sz="1000" b="1" i="1" baseline="0">
            <a:ln>
              <a:noFill/>
            </a:ln>
          </a:endParaRPr>
        </a:p>
        <a:p>
          <a:endParaRPr lang="en-IN" sz="1000" b="1" i="1" baseline="0">
            <a:ln>
              <a:noFill/>
            </a:ln>
          </a:endParaRPr>
        </a:p>
        <a:p>
          <a:endParaRPr lang="en-IN" sz="1000"/>
        </a:p>
      </xdr:txBody>
    </xdr:sp>
    <xdr:clientData/>
  </xdr:twoCellAnchor>
  <xdr:twoCellAnchor editAs="oneCell">
    <xdr:from>
      <xdr:col>4</xdr:col>
      <xdr:colOff>38485</xdr:colOff>
      <xdr:row>4</xdr:row>
      <xdr:rowOff>61575</xdr:rowOff>
    </xdr:from>
    <xdr:to>
      <xdr:col>4</xdr:col>
      <xdr:colOff>400243</xdr:colOff>
      <xdr:row>5</xdr:row>
      <xdr:rowOff>115455</xdr:rowOff>
    </xdr:to>
    <xdr:pic>
      <xdr:nvPicPr>
        <xdr:cNvPr id="29" name="Graphic 28" descr="Hourglass Finished with solid fill">
          <a:extLst>
            <a:ext uri="{FF2B5EF4-FFF2-40B4-BE49-F238E27FC236}">
              <a16:creationId xmlns:a16="http://schemas.microsoft.com/office/drawing/2014/main" id="{716B223E-0C46-00B0-45E5-1D6B4DA0DC4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470727" y="800484"/>
          <a:ext cx="361758" cy="238607"/>
        </a:xfrm>
        <a:prstGeom prst="rect">
          <a:avLst/>
        </a:prstGeom>
      </xdr:spPr>
    </xdr:pic>
    <xdr:clientData/>
  </xdr:twoCellAnchor>
  <xdr:twoCellAnchor editAs="oneCell">
    <xdr:from>
      <xdr:col>5</xdr:col>
      <xdr:colOff>307879</xdr:colOff>
      <xdr:row>3</xdr:row>
      <xdr:rowOff>177030</xdr:rowOff>
    </xdr:from>
    <xdr:to>
      <xdr:col>6</xdr:col>
      <xdr:colOff>269662</xdr:colOff>
      <xdr:row>5</xdr:row>
      <xdr:rowOff>138546</xdr:rowOff>
    </xdr:to>
    <xdr:pic>
      <xdr:nvPicPr>
        <xdr:cNvPr id="31" name="Graphic 30" descr="Stopwatch with solid fill">
          <a:extLst>
            <a:ext uri="{FF2B5EF4-FFF2-40B4-BE49-F238E27FC236}">
              <a16:creationId xmlns:a16="http://schemas.microsoft.com/office/drawing/2014/main" id="{2FAEC75A-B86D-F178-F82C-2F255992E59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348182" y="731212"/>
          <a:ext cx="569844" cy="330970"/>
        </a:xfrm>
        <a:prstGeom prst="rect">
          <a:avLst/>
        </a:prstGeom>
      </xdr:spPr>
    </xdr:pic>
    <xdr:clientData/>
  </xdr:twoCellAnchor>
  <xdr:twoCellAnchor editAs="oneCell">
    <xdr:from>
      <xdr:col>1</xdr:col>
      <xdr:colOff>515696</xdr:colOff>
      <xdr:row>3</xdr:row>
      <xdr:rowOff>177030</xdr:rowOff>
    </xdr:from>
    <xdr:to>
      <xdr:col>2</xdr:col>
      <xdr:colOff>447304</xdr:colOff>
      <xdr:row>5</xdr:row>
      <xdr:rowOff>177031</xdr:rowOff>
    </xdr:to>
    <xdr:pic>
      <xdr:nvPicPr>
        <xdr:cNvPr id="33" name="Graphic 32" descr="Users with solid fill">
          <a:extLst>
            <a:ext uri="{FF2B5EF4-FFF2-40B4-BE49-F238E27FC236}">
              <a16:creationId xmlns:a16="http://schemas.microsoft.com/office/drawing/2014/main" id="{63AF5228-16B3-8CD7-8D86-7E64255F8D7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23757" y="731212"/>
          <a:ext cx="539668" cy="369455"/>
        </a:xfrm>
        <a:prstGeom prst="rect">
          <a:avLst/>
        </a:prstGeom>
      </xdr:spPr>
    </xdr:pic>
    <xdr:clientData/>
  </xdr:twoCellAnchor>
  <xdr:twoCellAnchor editAs="oneCell">
    <xdr:from>
      <xdr:col>6</xdr:col>
      <xdr:colOff>395698</xdr:colOff>
      <xdr:row>3</xdr:row>
      <xdr:rowOff>153939</xdr:rowOff>
    </xdr:from>
    <xdr:to>
      <xdr:col>7</xdr:col>
      <xdr:colOff>92365</xdr:colOff>
      <xdr:row>6</xdr:row>
      <xdr:rowOff>7697</xdr:rowOff>
    </xdr:to>
    <xdr:pic>
      <xdr:nvPicPr>
        <xdr:cNvPr id="35" name="Graphic 34" descr="Downward trend graph with solid fill">
          <a:extLst>
            <a:ext uri="{FF2B5EF4-FFF2-40B4-BE49-F238E27FC236}">
              <a16:creationId xmlns:a16="http://schemas.microsoft.com/office/drawing/2014/main" id="{F6840577-F131-47F5-7840-567FA48DEA1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044062" y="708121"/>
          <a:ext cx="304727" cy="407940"/>
        </a:xfrm>
        <a:prstGeom prst="rect">
          <a:avLst/>
        </a:prstGeom>
      </xdr:spPr>
    </xdr:pic>
    <xdr:clientData/>
  </xdr:twoCellAnchor>
  <xdr:twoCellAnchor editAs="oneCell">
    <xdr:from>
      <xdr:col>8</xdr:col>
      <xdr:colOff>119212</xdr:colOff>
      <xdr:row>4</xdr:row>
      <xdr:rowOff>53879</xdr:rowOff>
    </xdr:from>
    <xdr:to>
      <xdr:col>8</xdr:col>
      <xdr:colOff>484910</xdr:colOff>
      <xdr:row>5</xdr:row>
      <xdr:rowOff>161636</xdr:rowOff>
    </xdr:to>
    <xdr:pic>
      <xdr:nvPicPr>
        <xdr:cNvPr id="37" name="Graphic 36" descr="Downward trend graph with solid fill">
          <a:extLst>
            <a:ext uri="{FF2B5EF4-FFF2-40B4-BE49-F238E27FC236}">
              <a16:creationId xmlns:a16="http://schemas.microsoft.com/office/drawing/2014/main" id="{48D203C2-0EAA-2607-3F41-D57FB40049E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122242" y="792788"/>
          <a:ext cx="365698" cy="292484"/>
        </a:xfrm>
        <a:prstGeom prst="rect">
          <a:avLst/>
        </a:prstGeom>
      </xdr:spPr>
    </xdr:pic>
    <xdr:clientData/>
  </xdr:twoCellAnchor>
  <xdr:twoCellAnchor editAs="oneCell">
    <xdr:from>
      <xdr:col>0</xdr:col>
      <xdr:colOff>38485</xdr:colOff>
      <xdr:row>4</xdr:row>
      <xdr:rowOff>107758</xdr:rowOff>
    </xdr:from>
    <xdr:to>
      <xdr:col>1</xdr:col>
      <xdr:colOff>346363</xdr:colOff>
      <xdr:row>22</xdr:row>
      <xdr:rowOff>169332</xdr:rowOff>
    </xdr:to>
    <mc:AlternateContent xmlns:mc="http://schemas.openxmlformats.org/markup-compatibility/2006" xmlns:a14="http://schemas.microsoft.com/office/drawing/2010/main">
      <mc:Choice Requires="a14">
        <xdr:graphicFrame macro="">
          <xdr:nvGraphicFramePr>
            <xdr:cNvPr id="8" name="date (Month)">
              <a:extLst>
                <a:ext uri="{FF2B5EF4-FFF2-40B4-BE49-F238E27FC236}">
                  <a16:creationId xmlns:a16="http://schemas.microsoft.com/office/drawing/2014/main" id="{6BA1466C-5803-4CCB-8723-A321DC1CA2E0}"/>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8485" y="854364"/>
              <a:ext cx="831273" cy="32828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115454</xdr:colOff>
      <xdr:row>7</xdr:row>
      <xdr:rowOff>38486</xdr:rowOff>
    </xdr:from>
    <xdr:to>
      <xdr:col>4</xdr:col>
      <xdr:colOff>215516</xdr:colOff>
      <xdr:row>11</xdr:row>
      <xdr:rowOff>1</xdr:rowOff>
    </xdr:to>
    <xdr:graphicFrame macro="">
      <xdr:nvGraphicFramePr>
        <xdr:cNvPr id="11" name="Chart 10">
          <a:extLst>
            <a:ext uri="{FF2B5EF4-FFF2-40B4-BE49-F238E27FC236}">
              <a16:creationId xmlns:a16="http://schemas.microsoft.com/office/drawing/2014/main" id="{AE2E28BF-546B-4A0D-5EFD-39B08A443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84667</xdr:colOff>
      <xdr:row>6</xdr:row>
      <xdr:rowOff>123151</xdr:rowOff>
    </xdr:from>
    <xdr:to>
      <xdr:col>6</xdr:col>
      <xdr:colOff>246303</xdr:colOff>
      <xdr:row>9</xdr:row>
      <xdr:rowOff>69273</xdr:rowOff>
    </xdr:to>
    <xdr:graphicFrame macro="">
      <xdr:nvGraphicFramePr>
        <xdr:cNvPr id="12" name="Chart 11">
          <a:hlinkClick xmlns:r="http://schemas.openxmlformats.org/officeDocument/2006/relationships" r:id="rId14"/>
          <a:extLst>
            <a:ext uri="{FF2B5EF4-FFF2-40B4-BE49-F238E27FC236}">
              <a16:creationId xmlns:a16="http://schemas.microsoft.com/office/drawing/2014/main" id="{E34C58A5-7355-402C-B2A0-561B8F2A86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391115</xdr:colOff>
      <xdr:row>7</xdr:row>
      <xdr:rowOff>26973</xdr:rowOff>
    </xdr:from>
    <xdr:to>
      <xdr:col>8</xdr:col>
      <xdr:colOff>499009</xdr:colOff>
      <xdr:row>9</xdr:row>
      <xdr:rowOff>94407</xdr:rowOff>
    </xdr:to>
    <xdr:graphicFrame macro="">
      <xdr:nvGraphicFramePr>
        <xdr:cNvPr id="30" name="Chart 29">
          <a:extLst>
            <a:ext uri="{FF2B5EF4-FFF2-40B4-BE49-F238E27FC236}">
              <a16:creationId xmlns:a16="http://schemas.microsoft.com/office/drawing/2014/main" id="{CF68F1DF-9EA7-4DDE-B8CC-013D4A9CD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465292</xdr:colOff>
          <xdr:row>10</xdr:row>
          <xdr:rowOff>19754</xdr:rowOff>
        </xdr:from>
        <xdr:to>
          <xdr:col>8</xdr:col>
          <xdr:colOff>505752</xdr:colOff>
          <xdr:row>14</xdr:row>
          <xdr:rowOff>134867</xdr:rowOff>
        </xdr:to>
        <xdr:pic>
          <xdr:nvPicPr>
            <xdr:cNvPr id="38" name="Picture 37">
              <a:extLst>
                <a:ext uri="{FF2B5EF4-FFF2-40B4-BE49-F238E27FC236}">
                  <a16:creationId xmlns:a16="http://schemas.microsoft.com/office/drawing/2014/main" id="{797CF30A-FFA6-411F-7785-CD77CECAFB9A}"/>
                </a:ext>
              </a:extLst>
            </xdr:cNvPr>
            <xdr:cNvPicPr>
              <a:picLocks noChangeAspect="1" noChangeArrowheads="1"/>
              <a:extLst>
                <a:ext uri="{84589F7E-364E-4C9E-8A38-B11213B215E9}">
                  <a14:cameraTool cellRange="'Pivot reports'!$A$42:$E$44" spid="_x0000_s1059"/>
                </a:ext>
              </a:extLst>
            </xdr:cNvPicPr>
          </xdr:nvPicPr>
          <xdr:blipFill>
            <a:blip xmlns:r="http://schemas.openxmlformats.org/officeDocument/2006/relationships" r:embed="rId17"/>
            <a:srcRect/>
            <a:stretch>
              <a:fillRect/>
            </a:stretch>
          </xdr:blipFill>
          <xdr:spPr bwMode="auto">
            <a:xfrm>
              <a:off x="1072195" y="1840462"/>
              <a:ext cx="4430389" cy="84339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579929</xdr:colOff>
      <xdr:row>15</xdr:row>
      <xdr:rowOff>161841</xdr:rowOff>
    </xdr:from>
    <xdr:to>
      <xdr:col>8</xdr:col>
      <xdr:colOff>499009</xdr:colOff>
      <xdr:row>22</xdr:row>
      <xdr:rowOff>67433</xdr:rowOff>
    </xdr:to>
    <xdr:graphicFrame macro="">
      <xdr:nvGraphicFramePr>
        <xdr:cNvPr id="39" name="Chart 38">
          <a:extLst>
            <a:ext uri="{FF2B5EF4-FFF2-40B4-BE49-F238E27FC236}">
              <a16:creationId xmlns:a16="http://schemas.microsoft.com/office/drawing/2014/main" id="{693D8C57-B29B-4EBB-B7C6-66746CF9D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121381</xdr:colOff>
      <xdr:row>0</xdr:row>
      <xdr:rowOff>74177</xdr:rowOff>
    </xdr:from>
    <xdr:to>
      <xdr:col>11</xdr:col>
      <xdr:colOff>364142</xdr:colOff>
      <xdr:row>9</xdr:row>
      <xdr:rowOff>40460</xdr:rowOff>
    </xdr:to>
    <xdr:graphicFrame macro="">
      <xdr:nvGraphicFramePr>
        <xdr:cNvPr id="40" name="Chart 39">
          <a:extLst>
            <a:ext uri="{FF2B5EF4-FFF2-40B4-BE49-F238E27FC236}">
              <a16:creationId xmlns:a16="http://schemas.microsoft.com/office/drawing/2014/main" id="{304E9B31-7C60-42F4-A517-72F4186184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9</xdr:col>
      <xdr:colOff>139635</xdr:colOff>
      <xdr:row>8</xdr:row>
      <xdr:rowOff>819</xdr:rowOff>
    </xdr:from>
    <xdr:to>
      <xdr:col>11</xdr:col>
      <xdr:colOff>313803</xdr:colOff>
      <xdr:row>9</xdr:row>
      <xdr:rowOff>23910</xdr:rowOff>
    </xdr:to>
    <xdr:sp macro="" textlink="">
      <xdr:nvSpPr>
        <xdr:cNvPr id="41" name="TextBox 40">
          <a:extLst>
            <a:ext uri="{FF2B5EF4-FFF2-40B4-BE49-F238E27FC236}">
              <a16:creationId xmlns:a16="http://schemas.microsoft.com/office/drawing/2014/main" id="{5F2913DE-33C5-99AE-7D40-FF67248ED874}"/>
            </a:ext>
          </a:extLst>
        </xdr:cNvPr>
        <xdr:cNvSpPr txBox="1"/>
      </xdr:nvSpPr>
      <xdr:spPr>
        <a:xfrm>
          <a:off x="5743370" y="1457385"/>
          <a:ext cx="1367743" cy="205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i="1" baseline="0">
              <a:ln>
                <a:noFill/>
              </a:ln>
            </a:rPr>
            <a:t> attend status of patient</a:t>
          </a:r>
        </a:p>
        <a:p>
          <a:endParaRPr lang="en-IN" sz="1000" b="1" i="1" baseline="0">
            <a:ln>
              <a:noFill/>
            </a:ln>
          </a:endParaRPr>
        </a:p>
        <a:p>
          <a:endParaRPr lang="en-IN" sz="1000" b="1" i="1" baseline="0">
            <a:ln>
              <a:noFill/>
            </a:ln>
          </a:endParaRPr>
        </a:p>
        <a:p>
          <a:endParaRPr lang="en-IN" sz="1000" b="1" i="1" baseline="0">
            <a:ln>
              <a:noFill/>
            </a:ln>
          </a:endParaRPr>
        </a:p>
        <a:p>
          <a:endParaRPr lang="en-IN" sz="1000" b="1" i="1" baseline="0">
            <a:ln>
              <a:noFill/>
            </a:ln>
          </a:endParaRPr>
        </a:p>
        <a:p>
          <a:endParaRPr lang="en-IN" sz="1000"/>
        </a:p>
      </xdr:txBody>
    </xdr:sp>
    <xdr:clientData/>
  </xdr:twoCellAnchor>
  <xdr:twoCellAnchor>
    <xdr:from>
      <xdr:col>11</xdr:col>
      <xdr:colOff>525982</xdr:colOff>
      <xdr:row>0</xdr:row>
      <xdr:rowOff>148354</xdr:rowOff>
    </xdr:from>
    <xdr:to>
      <xdr:col>14</xdr:col>
      <xdr:colOff>229274</xdr:colOff>
      <xdr:row>7</xdr:row>
      <xdr:rowOff>129887</xdr:rowOff>
    </xdr:to>
    <xdr:graphicFrame macro="">
      <xdr:nvGraphicFramePr>
        <xdr:cNvPr id="42" name="Chart 41">
          <a:extLst>
            <a:ext uri="{FF2B5EF4-FFF2-40B4-BE49-F238E27FC236}">
              <a16:creationId xmlns:a16="http://schemas.microsoft.com/office/drawing/2014/main" id="{C5EFD64E-12F3-45E6-8946-B4823C624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11</xdr:col>
      <xdr:colOff>572590</xdr:colOff>
      <xdr:row>8</xdr:row>
      <xdr:rowOff>819</xdr:rowOff>
    </xdr:from>
    <xdr:to>
      <xdr:col>14</xdr:col>
      <xdr:colOff>123303</xdr:colOff>
      <xdr:row>9</xdr:row>
      <xdr:rowOff>23910</xdr:rowOff>
    </xdr:to>
    <xdr:sp macro="" textlink="">
      <xdr:nvSpPr>
        <xdr:cNvPr id="43" name="TextBox 42">
          <a:extLst>
            <a:ext uri="{FF2B5EF4-FFF2-40B4-BE49-F238E27FC236}">
              <a16:creationId xmlns:a16="http://schemas.microsoft.com/office/drawing/2014/main" id="{6D929666-28F8-D429-4943-43B5980FC8E9}"/>
            </a:ext>
          </a:extLst>
        </xdr:cNvPr>
        <xdr:cNvSpPr txBox="1"/>
      </xdr:nvSpPr>
      <xdr:spPr>
        <a:xfrm>
          <a:off x="7361317" y="1455546"/>
          <a:ext cx="1369122" cy="204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i="1" baseline="0">
              <a:ln>
                <a:noFill/>
              </a:ln>
            </a:rPr>
            <a:t>           GENDER</a:t>
          </a:r>
        </a:p>
        <a:p>
          <a:endParaRPr lang="en-IN" sz="1000" b="1" i="1" baseline="0">
            <a:ln>
              <a:noFill/>
            </a:ln>
          </a:endParaRPr>
        </a:p>
        <a:p>
          <a:endParaRPr lang="en-IN" sz="1000" b="1" i="1" baseline="0">
            <a:ln>
              <a:noFill/>
            </a:ln>
          </a:endParaRPr>
        </a:p>
        <a:p>
          <a:endParaRPr lang="en-IN" sz="1000" b="1" i="1" baseline="0">
            <a:ln>
              <a:noFill/>
            </a:ln>
          </a:endParaRPr>
        </a:p>
        <a:p>
          <a:endParaRPr lang="en-IN" sz="1000" b="1" i="1" baseline="0">
            <a:ln>
              <a:noFill/>
            </a:ln>
          </a:endParaRPr>
        </a:p>
        <a:p>
          <a:endParaRPr lang="en-IN" sz="1000" b="1" i="1" baseline="0">
            <a:ln>
              <a:noFill/>
            </a:ln>
          </a:endParaRPr>
        </a:p>
        <a:p>
          <a:endParaRPr lang="en-IN" sz="1000"/>
        </a:p>
      </xdr:txBody>
    </xdr:sp>
    <xdr:clientData/>
  </xdr:twoCellAnchor>
  <xdr:twoCellAnchor>
    <xdr:from>
      <xdr:col>9</xdr:col>
      <xdr:colOff>112568</xdr:colOff>
      <xdr:row>9</xdr:row>
      <xdr:rowOff>138546</xdr:rowOff>
    </xdr:from>
    <xdr:to>
      <xdr:col>14</xdr:col>
      <xdr:colOff>389659</xdr:colOff>
      <xdr:row>21</xdr:row>
      <xdr:rowOff>138546</xdr:rowOff>
    </xdr:to>
    <xdr:graphicFrame macro="">
      <xdr:nvGraphicFramePr>
        <xdr:cNvPr id="44" name="Chart 43">
          <a:extLst>
            <a:ext uri="{FF2B5EF4-FFF2-40B4-BE49-F238E27FC236}">
              <a16:creationId xmlns:a16="http://schemas.microsoft.com/office/drawing/2014/main" id="{AE344390-4C13-48DD-A081-B67665F6EF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absolute">
    <xdr:from>
      <xdr:col>10</xdr:col>
      <xdr:colOff>147205</xdr:colOff>
      <xdr:row>20</xdr:row>
      <xdr:rowOff>147206</xdr:rowOff>
    </xdr:from>
    <xdr:to>
      <xdr:col>13</xdr:col>
      <xdr:colOff>259773</xdr:colOff>
      <xdr:row>22</xdr:row>
      <xdr:rowOff>121228</xdr:rowOff>
    </xdr:to>
    <xdr:sp macro="" textlink="">
      <xdr:nvSpPr>
        <xdr:cNvPr id="45" name="TextBox 44">
          <a:extLst>
            <a:ext uri="{FF2B5EF4-FFF2-40B4-BE49-F238E27FC236}">
              <a16:creationId xmlns:a16="http://schemas.microsoft.com/office/drawing/2014/main" id="{2D1B14AD-F337-7DE5-2091-1D7DBD0A068E}"/>
            </a:ext>
          </a:extLst>
        </xdr:cNvPr>
        <xdr:cNvSpPr txBox="1"/>
      </xdr:nvSpPr>
      <xdr:spPr>
        <a:xfrm>
          <a:off x="6347114" y="3784024"/>
          <a:ext cx="1913659" cy="337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1" i="1" baseline="0">
              <a:ln>
                <a:noFill/>
              </a:ln>
            </a:rPr>
            <a:t>departmental refers patient</a:t>
          </a:r>
        </a:p>
        <a:p>
          <a:endParaRPr lang="en-IN" sz="1000" b="1" i="1" baseline="0">
            <a:ln>
              <a:noFill/>
            </a:ln>
          </a:endParaRPr>
        </a:p>
        <a:p>
          <a:endParaRPr lang="en-IN" sz="1000" b="1" i="1" baseline="0">
            <a:ln>
              <a:noFill/>
            </a:ln>
          </a:endParaRPr>
        </a:p>
        <a:p>
          <a:endParaRPr lang="en-IN" sz="1000" b="1" i="1" baseline="0">
            <a:ln>
              <a:noFill/>
            </a:ln>
          </a:endParaRPr>
        </a:p>
        <a:p>
          <a:endParaRPr lang="en-IN" sz="1000" b="1" i="1" baseline="0">
            <a:ln>
              <a:noFill/>
            </a:ln>
          </a:endParaRPr>
        </a:p>
        <a:p>
          <a:endParaRPr lang="en-IN" sz="1000" b="1" i="1" baseline="0">
            <a:ln>
              <a:noFill/>
            </a:ln>
          </a:endParaRPr>
        </a:p>
        <a:p>
          <a:endParaRPr lang="en-IN" sz="1000"/>
        </a:p>
      </xdr:txBody>
    </xdr:sp>
    <xdr:clientData/>
  </xdr:twoCellAnchor>
  <xdr:twoCellAnchor editAs="oneCell">
    <xdr:from>
      <xdr:col>7</xdr:col>
      <xdr:colOff>103908</xdr:colOff>
      <xdr:row>0</xdr:row>
      <xdr:rowOff>61766</xdr:rowOff>
    </xdr:from>
    <xdr:to>
      <xdr:col>8</xdr:col>
      <xdr:colOff>597478</xdr:colOff>
      <xdr:row>3</xdr:row>
      <xdr:rowOff>138545</xdr:rowOff>
    </xdr:to>
    <mc:AlternateContent xmlns:mc="http://schemas.openxmlformats.org/markup-compatibility/2006" xmlns:a14="http://schemas.microsoft.com/office/drawing/2010/main">
      <mc:Choice Requires="a14">
        <xdr:graphicFrame macro="">
          <xdr:nvGraphicFramePr>
            <xdr:cNvPr id="46" name="date (Year)">
              <a:extLst>
                <a:ext uri="{FF2B5EF4-FFF2-40B4-BE49-F238E27FC236}">
                  <a16:creationId xmlns:a16="http://schemas.microsoft.com/office/drawing/2014/main" id="{E5CDC791-2FA1-4D14-BD08-6D12EBBF69C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354439" y="61766"/>
              <a:ext cx="1237711" cy="630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0</xdr:row>
      <xdr:rowOff>76200</xdr:rowOff>
    </xdr:from>
    <xdr:to>
      <xdr:col>11</xdr:col>
      <xdr:colOff>175260</xdr:colOff>
      <xdr:row>21</xdr:row>
      <xdr:rowOff>91440</xdr:rowOff>
    </xdr:to>
    <xdr:graphicFrame macro="">
      <xdr:nvGraphicFramePr>
        <xdr:cNvPr id="2" name="Chart 1">
          <a:extLst>
            <a:ext uri="{FF2B5EF4-FFF2-40B4-BE49-F238E27FC236}">
              <a16:creationId xmlns:a16="http://schemas.microsoft.com/office/drawing/2014/main" id="{9B7588E2-2D9A-4F63-8E56-B140DC0C2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0.0979</cdr:x>
      <cdr:y>0.1761</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5A0F4B46-8B4C-97B5-5367-0066989D044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40080" cy="64008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83820</xdr:colOff>
      <xdr:row>1</xdr:row>
      <xdr:rowOff>30480</xdr:rowOff>
    </xdr:from>
    <xdr:to>
      <xdr:col>11</xdr:col>
      <xdr:colOff>585739</xdr:colOff>
      <xdr:row>19</xdr:row>
      <xdr:rowOff>83127</xdr:rowOff>
    </xdr:to>
    <xdr:graphicFrame macro="">
      <xdr:nvGraphicFramePr>
        <xdr:cNvPr id="2" name="Chart 1">
          <a:extLst>
            <a:ext uri="{FF2B5EF4-FFF2-40B4-BE49-F238E27FC236}">
              <a16:creationId xmlns:a16="http://schemas.microsoft.com/office/drawing/2014/main" id="{1B4C0A77-323B-4D93-B369-A7C697F84B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53340</xdr:colOff>
      <xdr:row>0</xdr:row>
      <xdr:rowOff>167640</xdr:rowOff>
    </xdr:from>
    <xdr:to>
      <xdr:col>1</xdr:col>
      <xdr:colOff>358140</xdr:colOff>
      <xdr:row>5</xdr:row>
      <xdr:rowOff>167640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649D031-0E6F-1D09-4A8B-80BD01AF28D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340" y="16764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5763889" createdVersion="5" refreshedVersion="8" minRefreshableVersion="3" recordCount="0" supportSubquery="1" supportAdvancedDrill="1" xr:uid="{35BFE261-A75B-4A66-99BA-035F7AA8BF27}">
  <cacheSource type="external" connectionId="4"/>
  <cacheFields count="4">
    <cacheField name="[Measures].[Distinct Count of Patient Id]" caption="Distinct Count of Patient Id" numFmtId="0" hierarchy="24" level="32767"/>
    <cacheField name="[Calender_Table].[date (Day)].[date (Day)]" caption="date (Day)" numFmtId="0" hierarchy="2" level="1">
      <sharedItems count="30">
        <s v="1-Feb"/>
        <s v="2-Feb"/>
        <s v="3-Feb"/>
        <s v="4-Feb"/>
        <s v="5-Feb"/>
        <s v="6-Feb"/>
        <s v="7-Feb"/>
        <s v="8-Feb"/>
        <s v="9-Feb"/>
        <s v="10-Feb"/>
        <s v="11-Feb"/>
        <s v="12-Feb"/>
        <s v="13-Feb"/>
        <s v="14-Feb"/>
        <s v="15-Feb"/>
        <s v="16-Feb"/>
        <s v="17-Feb"/>
        <s v="18-Feb"/>
        <s v="19-Feb"/>
        <s v="20-Feb"/>
        <s v="21-Feb"/>
        <s v="22-Feb"/>
        <s v="23-Feb"/>
        <s v="24-Feb"/>
        <s v="25-Feb"/>
        <s v="26-Feb"/>
        <s v="27-Feb"/>
        <s v="28-Feb"/>
        <s v="29-Feb"/>
        <s v="20-Jan"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5925926" createdVersion="5" refreshedVersion="8" minRefreshableVersion="3" recordCount="0" supportSubquery="1" supportAdvancedDrill="1" xr:uid="{ABFF7AA7-CD43-40DE-8229-9DC025388455}">
  <cacheSource type="external" connectionId="4"/>
  <cacheFields count="3">
    <cacheField name="[Measures].[Distinct Count of Patient Id]" caption="Distinct Count of Patient Id" numFmtId="0" hierarchy="24"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60532407" createdVersion="5" refreshedVersion="8" minRefreshableVersion="3" recordCount="0" supportSubquery="1" supportAdvancedDrill="1" xr:uid="{18BC16F8-DCE5-40F8-A660-65FE988F543C}">
  <cacheSource type="external" connectionId="4"/>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62037039" createdVersion="5" refreshedVersion="8" minRefreshableVersion="3" recordCount="0" supportSubquery="1" supportAdvancedDrill="1" xr:uid="{15F04C2A-5338-4F61-B6FB-2F739313F583}">
  <cacheSource type="external" connectionId="4"/>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63773148" createdVersion="5" refreshedVersion="8" minRefreshableVersion="3" recordCount="0" supportSubquery="1" supportAdvancedDrill="1" xr:uid="{689C3C75-85F7-450F-9741-5AE94E3548B7}">
  <cacheSource type="external" connectionId="4"/>
  <cacheFields count="4">
    <cacheField name="[Calender_Table].[date (Day)].[date (Day)]" caption="date (Day)" numFmtId="0" hierarchy="2" level="1">
      <sharedItems count="29">
        <s v="1-Feb"/>
        <s v="2-Feb"/>
        <s v="3-Feb"/>
        <s v="4-Feb"/>
        <s v="5-Feb"/>
        <s v="6-Feb"/>
        <s v="7-Feb"/>
        <s v="8-Feb"/>
        <s v="9-Feb"/>
        <s v="10-Feb"/>
        <s v="11-Feb"/>
        <s v="12-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65393518" createdVersion="5" refreshedVersion="8" minRefreshableVersion="3" recordCount="0" supportSubquery="1" supportAdvancedDrill="1" xr:uid="{71CA85B3-8C0C-4BFF-A324-0CC91B310A9D}">
  <cacheSource type="external" connectionId="4"/>
  <cacheFields count="4">
    <cacheField name="[Calender_Table].[date (Day)].[date (Day)]" caption="date (Day)" numFmtId="0" hierarchy="2" level="1">
      <sharedItems count="28">
        <s v="1-Feb"/>
        <s v="2-Feb"/>
        <s v="3-Feb"/>
        <s v="4-Feb"/>
        <s v="5-Feb"/>
        <s v="6-Feb"/>
        <s v="7-Feb"/>
        <s v="8-Feb"/>
        <s v="9-Feb"/>
        <s v="10-Feb"/>
        <s v="11-Feb"/>
        <s v="12-Feb"/>
        <s v="13-Feb"/>
        <s v="14-Feb"/>
        <s v="15-Feb"/>
        <s v="16-Feb"/>
        <s v="17-Feb"/>
        <s v="18-Feb"/>
        <s v="19-Feb"/>
        <s v="20-Feb"/>
        <s v="21-Feb"/>
        <s v="22-Feb"/>
        <s v="23-Feb"/>
        <s v="24-Feb"/>
        <s v="25-Feb"/>
        <s v="27-Feb"/>
        <s v="28-Feb"/>
        <s v="29-Feb"/>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66666665" createdVersion="5" refreshedVersion="8" minRefreshableVersion="3" recordCount="0" supportSubquery="1" supportAdvancedDrill="1" xr:uid="{A368A14F-5EB1-4D31-83C3-F98E2DB958EB}">
  <cacheSource type="external" connectionId="4"/>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68171297" createdVersion="5" refreshedVersion="8" minRefreshableVersion="3" recordCount="0" supportSubquery="1" supportAdvancedDrill="1" xr:uid="{EB5658DA-9C97-47BB-B88D-7CA6F6E27787}">
  <cacheSource type="external" connectionId="4"/>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69791667" createdVersion="5" refreshedVersion="8" minRefreshableVersion="3" recordCount="0" supportSubquery="1" supportAdvancedDrill="1" xr:uid="{3CE39836-4ED7-4EAF-9941-79A1D1005665}">
  <cacheSource type="external" connectionId="4"/>
  <cacheFields count="4">
    <cacheField name="[Calender_Table].[date (Month)].[date (Month)]" caption="date (Month)" numFmtId="0" hierarchy="1" level="1">
      <sharedItems containsSemiMixedTypes="0" containsNonDate="0" containsString="0"/>
    </cacheField>
    <cacheField name="[Measures].[Count of Patient attend Status]" caption="Count of Patient attend Status" numFmtId="0" hierarchy="31" level="32767"/>
    <cacheField name="[Hospital Emergency Room Data].[Patient attend Status].[Patient attend Status]" caption="Patient attend Status" numFmtId="0" hierarchy="17" level="1">
      <sharedItems count="2">
        <s v="Delay"/>
        <s v="Ontime"/>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70949076" createdVersion="5" refreshedVersion="8" minRefreshableVersion="3" recordCount="0" supportSubquery="1" supportAdvancedDrill="1" xr:uid="{69FC1967-8984-481B-8164-F0D8313F3974}">
  <cacheSource type="external" connectionId="4"/>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71643515" createdVersion="5" refreshedVersion="8" minRefreshableVersion="3" recordCount="0" supportSubquery="1" supportAdvancedDrill="1" xr:uid="{A5EFE3FE-E6C8-43DD-879F-82111DE76D7C}">
  <cacheSource type="external" connectionId="4"/>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70.718472800923" createdVersion="5" refreshedVersion="8" minRefreshableVersion="3" recordCount="0" supportSubquery="1" supportAdvancedDrill="1" xr:uid="{29FFA0DF-AE4A-4BED-8A48-E907902F09B0}">
  <cacheSource type="external" connectionId="4"/>
  <cacheFields count="4">
    <cacheField name="[Calender_Table].[date (Month)].[date (Month)]" caption="date (Month)" numFmtId="0" hierarchy="1" level="1">
      <sharedItems count="1">
        <s v="Feb"/>
      </sharedItems>
    </cacheField>
    <cacheField name="[Calender_Table].[date].[date]" caption="date" numFmtId="0" level="1">
      <sharedItems containsSemiMixedTypes="0" containsNonDate="0" containsDate="1" containsString="0" minDate="2024-02-01T00:00:00" maxDate="2024-03-01T00:00:00" count="29">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singh bisht" refreshedDate="46239.987876851854" createdVersion="3" refreshedVersion="8" minRefreshableVersion="3" recordCount="0" supportSubquery="1" supportAdvancedDrill="1" xr:uid="{28522618-B4DF-4773-88D8-F57162B92E90}">
  <cacheSource type="external" connectionId="4">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3602935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1E4344-9592-4E7A-A9FA-6CDDAC87E65A}" name="PivotTable1" cacheId="18" applyNumberFormats="0" applyBorderFormats="0" applyFontFormats="0" applyPatternFormats="0" applyAlignmentFormats="0" applyWidthHeightFormats="1" dataCaption="Values" tag="2a3c472e-d6cb-4e88-bb74-760f6a0a5ff6"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989EE2-75EC-4AE3-906E-790CAE74C315}" name="PivotTable12" cacheId="48" applyNumberFormats="0" applyBorderFormats="0" applyFontFormats="0" applyPatternFormats="0" applyAlignmentFormats="0" applyWidthHeightFormats="1" dataCaption="Values" tag="e36607e3-eae1-4a1e-b8d1-f748a7fd28b8" updatedVersion="8" minRefreshableVersion="3" useAutoFormatting="1" subtotalHiddenItems="1" itemPrintTitles="1" createdVersion="5" indent="0" outline="1" outlineData="1" multipleFieldFilters="0" chartFormat="6">
  <location ref="O59:O92" firstHeaderRow="1" firstDataRow="1" firstDataCol="1"/>
  <pivotFields count="4">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xis="axisRow" allDrilled="1" subtotalTop="0" showAll="0" dataSourceSort="1" defaultSubtotal="0" defaultAttributeDrillState="1">
      <items count="1">
        <item x="0"/>
      </items>
    </pivotField>
    <pivotField axis="axisRow" allDrilled="1" subtotalTop="0" showAll="0" dataSourceSort="1" defaultSubtotal="0" defaultAttributeDrillState="1">
      <items count="1">
        <item s="1" x="0"/>
      </items>
    </pivotField>
  </pivotFields>
  <rowFields count="4">
    <field x="3"/>
    <field x="2"/>
    <field x="0"/>
    <field x="1"/>
  </rowFields>
  <rowItems count="33">
    <i>
      <x/>
    </i>
    <i r="1">
      <x/>
    </i>
    <i r="2">
      <x/>
    </i>
    <i r="3">
      <x/>
    </i>
    <i r="3">
      <x v="1"/>
    </i>
    <i r="3">
      <x v="2"/>
    </i>
    <i r="3">
      <x v="3"/>
    </i>
    <i r="3">
      <x v="4"/>
    </i>
    <i r="3">
      <x v="5"/>
    </i>
    <i r="3">
      <x v="6"/>
    </i>
    <i r="3">
      <x v="7"/>
    </i>
    <i r="3">
      <x v="8"/>
    </i>
    <i r="3">
      <x v="9"/>
    </i>
    <i r="3">
      <x v="10"/>
    </i>
    <i r="3">
      <x v="11"/>
    </i>
    <i r="3">
      <x v="12"/>
    </i>
    <i r="3">
      <x v="13"/>
    </i>
    <i r="3">
      <x v="14"/>
    </i>
    <i r="3">
      <x v="15"/>
    </i>
    <i r="3">
      <x v="16"/>
    </i>
    <i r="3">
      <x v="17"/>
    </i>
    <i r="3">
      <x v="18"/>
    </i>
    <i r="3">
      <x v="19"/>
    </i>
    <i r="3">
      <x v="20"/>
    </i>
    <i r="3">
      <x v="21"/>
    </i>
    <i r="3">
      <x v="22"/>
    </i>
    <i r="3">
      <x v="23"/>
    </i>
    <i r="3">
      <x v="24"/>
    </i>
    <i r="3">
      <x v="25"/>
    </i>
    <i r="3">
      <x v="26"/>
    </i>
    <i r="3">
      <x v="27"/>
    </i>
    <i r="3">
      <x v="28"/>
    </i>
    <i t="grand">
      <x/>
    </i>
  </rowItems>
  <formats count="1">
    <format dxfId="12">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4CD4C5-6A7F-487E-B97B-C7648E290E19}" name="PivotTable4" cacheId="27" applyNumberFormats="0" applyBorderFormats="0" applyFontFormats="0" applyPatternFormats="0" applyAlignmentFormats="0" applyWidthHeightFormats="1" dataCaption="Values" tag="50052e26-317c-47b0-b4eb-d60582170d16" updatedVersion="8" minRefreshableVersion="3" subtotalHiddenItems="1" itemPrintTitles="1" createdVersion="5" indent="0" outline="1" outlineData="1" multipleFieldFilters="0" chartFormat="29">
  <location ref="N5:O35"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Waittime" fld="2" subtotal="average" baseField="0" baseItem="1"/>
  </dataFields>
  <formats count="1">
    <format dxfId="13">
      <pivotArea collapsedLevelsAreSubtotals="1" fieldPosition="0">
        <references count="1">
          <reference field="0" count="0"/>
        </references>
      </pivotArea>
    </format>
  </formats>
  <chartFormats count="2">
    <chartFormat chart="20" format="2"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DBACB0-02DC-4EC3-9718-EB8D9DF73BDD}" name="PivotTable8" cacheId="36" applyNumberFormats="0" applyBorderFormats="0" applyFontFormats="0" applyPatternFormats="0" applyAlignmentFormats="0" applyWidthHeightFormats="1" dataCaption="Values" tag="fac11e7a-a6b3-43fc-927b-e857609b2b3d" updatedVersion="8" minRefreshableVersion="3" useAutoFormatting="1" subtotalHiddenItems="1" itemPrintTitles="1" createdVersion="5" indent="0" outline="1" outlineData="1" multipleFieldFilters="0" chartFormat="3">
  <location ref="A51: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1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C175F1-8CA2-4064-818B-F751F4CF5248}" name="PivotTable6" cacheId="30" applyNumberFormats="0" applyBorderFormats="0" applyFontFormats="0" applyPatternFormats="0" applyAlignmentFormats="0" applyWidthHeightFormats="1" dataCaption="Values" tag="50052e26-317c-47b0-b4eb-d60582170d16" updatedVersion="8" minRefreshableVersion="3" subtotalHiddenItems="1" itemPrintTitles="1" createdVersion="5" indent="0" outline="1" outlineData="1" multipleFieldFilters="0" chartFormat="48">
  <location ref="U5:V34"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Satisfaction Score" fld="2" subtotal="average" baseField="0" baseItem="1"/>
  </dataFields>
  <formats count="1">
    <format dxfId="15">
      <pivotArea collapsedLevelsAreSubtotals="1" fieldPosition="0">
        <references count="1">
          <reference field="0" count="0"/>
        </references>
      </pivotArea>
    </format>
  </formats>
  <chartFormats count="1">
    <chartFormat chart="4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D2E050-6FE0-4F55-9301-34B046D36FF8}" name="PivotTable7" cacheId="33" applyNumberFormats="0" applyBorderFormats="0" applyFontFormats="0" applyPatternFormats="0" applyAlignmentFormats="0" applyWidthHeightFormats="1" dataCaption="Values" tag="e36607e3-eae1-4a1e-b8d1-f748a7fd28b8" updatedVersion="8" minRefreshableVersion="3" subtotalHiddenItems="1" itemPrintTitles="1" createdVersion="5" indent="0" outline="1" outlineData="1" multipleFieldFilters="0" chartFormat="1">
  <location ref="A23:C2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1" baseItem="0" numFmtId="10">
      <extLst>
        <ext xmlns:x14="http://schemas.microsoft.com/office/spreadsheetml/2009/9/main" uri="{E15A36E0-9728-4e99-A89B-3F7291B0FE68}">
          <x14:dataField sourceField="2" uniqueName="[__Xl2].[Measures].[Count of Patient Admission Flag]"/>
        </ext>
      </extLst>
    </dataField>
  </dataFields>
  <formats count="3">
    <format dxfId="18">
      <pivotArea outline="0" collapsedLevelsAreSubtotals="1" fieldPosition="0"/>
    </format>
    <format dxfId="17">
      <pivotArea dataOnly="0" labelOnly="1" outline="0" fieldPosition="0">
        <references count="1">
          <reference field="4294967294" count="1">
            <x v="1"/>
          </reference>
        </references>
      </pivotArea>
    </format>
    <format dxfId="16">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F28F84-5FF9-4D3C-A565-39C6F74EF68C}" name="PivotTable5" cacheId="15" applyNumberFormats="0" applyBorderFormats="0" applyFontFormats="0" applyPatternFormats="0" applyAlignmentFormats="0" applyWidthHeightFormats="1" dataCaption="Values" tag="50052e26-317c-47b0-b4eb-d60582170d16" updatedVersion="8" minRefreshableVersion="3" subtotalHiddenItems="1" itemPrintTitles="1" createdVersion="5" indent="0" outline="1" outlineData="1" multipleFieldFilters="0" chartFormat="15">
  <location ref="H5:I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8"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29"/>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5DE2E7-1909-4DDC-9633-8E5ED6DA9B45}" name="PivotTable3" cacheId="24" applyNumberFormats="0" applyBorderFormats="0" applyFontFormats="0" applyPatternFormats="0" applyAlignmentFormats="0" applyWidthHeightFormats="1" dataCaption="Values" tag="e36607e3-eae1-4a1e-b8d1-f748a7fd28b8" updatedVersion="8" minRefreshableVersion="3" useAutoFormatting="1" subtotalHiddenItems="1" itemPrintTitles="1" createdVersion="5" indent="0" outline="1" outlineData="1" multipleFieldFilters="0">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9">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F0F58C-FD6A-47BB-8A7E-A7390330102B}" name="PivotTable9" cacheId="39" applyNumberFormats="0" applyBorderFormats="0" applyFontFormats="0" applyPatternFormats="0" applyAlignmentFormats="0" applyWidthHeightFormats="1" dataCaption="Values" tag="e36607e3-eae1-4a1e-b8d1-f748a7fd28b8" updatedVersion="8" minRefreshableVersion="3" useAutoFormatting="1" subtotalHiddenItems="1" itemPrintTitles="1" createdVersion="5" indent="0" outline="1" outlineData="1" multipleFieldFilters="0" chartFormat="6">
  <location ref="H51:I5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1" subtotal="count" baseField="0" baseItem="0"/>
  </dataFields>
  <formats count="1">
    <format dxfId="20">
      <pivotArea outline="0" collapsedLevelsAreSubtotals="1" fieldPosition="0"/>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2" count="1" selected="0">
            <x v="0"/>
          </reference>
        </references>
      </pivotArea>
    </chartFormat>
    <chartFormat chart="5" format="8">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60E772-B2C0-473F-B48B-4D81F400CBB0}" name="PivotTable11" cacheId="45" applyNumberFormats="0" applyBorderFormats="0" applyFontFormats="0" applyPatternFormats="0" applyAlignmentFormats="0" applyWidthHeightFormats="1" dataCaption="Values" tag="e36607e3-eae1-4a1e-b8d1-f748a7fd28b8" updatedVersion="8" minRefreshableVersion="3" useAutoFormatting="1" subtotalHiddenItems="1" itemPrintTitles="1" createdVersion="5" indent="0" outline="1" outlineData="1" multipleFieldFilters="0" chartFormat="11">
  <location ref="K59:L68"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v="6"/>
    </i>
    <i>
      <x/>
    </i>
    <i>
      <x v="1"/>
    </i>
    <i>
      <x v="7"/>
    </i>
    <i>
      <x v="3"/>
    </i>
    <i t="grand">
      <x/>
    </i>
  </rowItems>
  <colItems count="1">
    <i/>
  </colItems>
  <dataFields count="1">
    <dataField name="Count of Department Referral" fld="2" subtotal="count" baseField="0" baseItem="0"/>
  </dataFields>
  <formats count="1">
    <format dxfId="21">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FC7152C-98FA-4D72-ABE9-44565C18BA60}" name="PivotTable10" cacheId="42" applyNumberFormats="0" applyBorderFormats="0" applyFontFormats="0" applyPatternFormats="0" applyAlignmentFormats="0" applyWidthHeightFormats="1" dataCaption="Values" tag="e36607e3-eae1-4a1e-b8d1-f748a7fd28b8" updatedVersion="8" minRefreshableVersion="3" useAutoFormatting="1" subtotalHiddenItems="1" itemPrintTitles="1" createdVersion="5" indent="0" outline="1" outlineData="1" multipleFieldFilters="0" chartFormat="6">
  <location ref="K51:L5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2">
      <pivotArea outline="0" collapsedLevelsAreSubtotals="1" fieldPosition="0"/>
    </format>
  </formats>
  <chartFormats count="3">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 count="1" selected="0">
            <x v="0"/>
          </reference>
        </references>
      </pivotArea>
    </chartFormat>
    <chartFormat chart="5" format="7">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7F3AAD-FA2B-43BC-8A4E-BF32EC287A15}" name="PivotTable2" cacheId="21" applyNumberFormats="0" applyBorderFormats="0" applyFontFormats="0" applyPatternFormats="0" applyAlignmentFormats="0" applyWidthHeightFormats="1" dataCaption="Values" tag="fac11e7a-a6b3-43fc-927b-e857609b2b3d" updatedVersion="8" minRefreshableVersion="3" useAutoFormatting="1"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3">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430344A-6DC7-4A5F-86C2-4256737B215E}"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11FB95F-6776-4EED-8F04-92A868C6BE72}" sourceName="[Calender_Table].[date (Month)]">
  <pivotTables>
    <pivotTable tabId="1" name="PivotTable5"/>
    <pivotTable tabId="1" name="PivotTable1"/>
    <pivotTable tabId="1" name="PivotTable2"/>
    <pivotTable tabId="1" name="PivotTable3"/>
    <pivotTable tabId="1" name="PivotTable4"/>
    <pivotTable tabId="1" name="PivotTable6"/>
    <pivotTable tabId="1" name="PivotTable7"/>
    <pivotTable tabId="1" name="PivotTable8"/>
    <pivotTable tabId="1" name="PivotTable9"/>
    <pivotTable tabId="1" name="PivotTable10"/>
    <pivotTable tabId="1" name="PivotTable11"/>
    <pivotTable tabId="1" name="PivotTable12"/>
  </pivotTables>
  <data>
    <olap pivotCacheId="36029357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8CE8E8E9-32B2-4CF0-A81E-5B4FD31EFCE0}"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36029357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D2E7E2E-AC93-4821-A9D9-226CE1EA29AC}" cache="Slicer_date__Month" caption="date (Month)" showCaption="0" level="1" style="SlicerStyleDark5 2" rowHeight="234950"/>
  <slicer name="date (Year)" xr10:uid="{DBBF54AE-78E5-4575-AC44-0DAED96BA706}" cache="Slicer_date__Year" caption="date (Year)" showCaption="0" level="1" style="SlicerStyleDark5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BA18EC-B74B-4C8B-B508-E3E4332F6E32}" name="Table_ExternalData_1" displayName="Table_ExternalData_1" ref="A3:M34" tableType="queryTable" totalsRowShown="0">
  <autoFilter ref="A3:M34" xr:uid="{69BA18EC-B74B-4C8B-B508-E3E4332F6E32}"/>
  <tableColumns count="13">
    <tableColumn id="1" xr3:uid="{D9B24B99-5005-45EC-919B-249910CB1BAF}" uniqueName="1" name="Hospital Emergency Room Data[Patient Id]" queryTableFieldId="1"/>
    <tableColumn id="2" xr3:uid="{A3C3E2C9-A1D8-4BB8-8CC1-C8B3FC4A2CCF}" uniqueName="2" name="Hospital Emergency Room Data[Patient Admission Date]" queryTableFieldId="2" dataDxfId="25"/>
    <tableColumn id="3" xr3:uid="{2412396E-2A21-4BAC-829D-0AC0F8456BC5}" uniqueName="3" name="Hospital Emergency Room Data[Patient Admission Time]" queryTableFieldId="3" dataDxfId="24"/>
    <tableColumn id="4" xr3:uid="{B8DCD326-7954-4F55-B4C4-3A57B9A1DF0F}" uniqueName="4" name="Hospital Emergency Room Data[Merged]" queryTableFieldId="4"/>
    <tableColumn id="5" xr3:uid="{FE3050DB-4E18-4A2E-81AE-6D283AF411D4}" uniqueName="5" name="Hospital Emergency Room Data[Patient Gender]" queryTableFieldId="5"/>
    <tableColumn id="6" xr3:uid="{BEB26CCD-21EF-4307-81EB-B5EC08545CEE}" uniqueName="6" name="Hospital Emergency Room Data[Patient Age]" queryTableFieldId="6"/>
    <tableColumn id="7" xr3:uid="{B91BC310-DB95-426E-BE6D-042B4558CF32}" uniqueName="7" name="Hospital Emergency Room Data[Patient Race]" queryTableFieldId="7"/>
    <tableColumn id="8" xr3:uid="{16C87B92-9DB3-4106-821E-009BDE378D89}" uniqueName="8" name="Hospital Emergency Room Data[Department Referral]" queryTableFieldId="8"/>
    <tableColumn id="9" xr3:uid="{B39F8EF7-C79E-4933-AAD1-CA4CF03B0C0F}" uniqueName="9" name="Hospital Emergency Room Data[Patient Admission Flag]" queryTableFieldId="9"/>
    <tableColumn id="10" xr3:uid="{075F8B8B-6570-46C8-932C-257A7D632B70}" uniqueName="10" name="Hospital Emergency Room Data[Patient Satisfaction Score]" queryTableFieldId="10"/>
    <tableColumn id="11" xr3:uid="{1DF2589C-2DE1-40E6-A57B-CA76C9660F49}" uniqueName="11" name="Hospital Emergency Room Data[Patient Waittime]" queryTableFieldId="11"/>
    <tableColumn id="12" xr3:uid="{315F28FB-0366-4FB5-A541-04067197F825}" uniqueName="12" name="Hospital Emergency Room Data[Age Group]" queryTableFieldId="12"/>
    <tableColumn id="13" xr3:uid="{4381C34B-9309-4A99-AF29-ADF42FAE9F32}"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ayscale">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6EB94-02E7-4DFB-A4FF-435540A927A0}">
  <dimension ref="A1:M34"/>
  <sheetViews>
    <sheetView zoomScale="40"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5546875" bestFit="1" customWidth="1"/>
  </cols>
  <sheetData>
    <row r="1" spans="1:13" x14ac:dyDescent="0.3">
      <c r="A1" s="9" t="s">
        <v>109</v>
      </c>
    </row>
    <row r="3" spans="1:13" x14ac:dyDescent="0.3">
      <c r="A3" t="s">
        <v>7</v>
      </c>
      <c r="B3" t="s">
        <v>8</v>
      </c>
      <c r="C3" t="s">
        <v>9</v>
      </c>
      <c r="D3" t="s">
        <v>10</v>
      </c>
      <c r="E3" t="s">
        <v>11</v>
      </c>
      <c r="F3" t="s">
        <v>12</v>
      </c>
      <c r="G3" t="s">
        <v>13</v>
      </c>
      <c r="H3" t="s">
        <v>14</v>
      </c>
      <c r="I3" t="s">
        <v>15</v>
      </c>
      <c r="J3" t="s">
        <v>16</v>
      </c>
      <c r="K3" t="s">
        <v>17</v>
      </c>
      <c r="L3" t="s">
        <v>18</v>
      </c>
      <c r="M3" t="s">
        <v>19</v>
      </c>
    </row>
    <row r="4" spans="1:13" x14ac:dyDescent="0.3">
      <c r="A4" t="s">
        <v>20</v>
      </c>
      <c r="B4" s="7">
        <v>45017</v>
      </c>
      <c r="C4" s="8">
        <v>0.25486111111111109</v>
      </c>
      <c r="D4" t="s">
        <v>21</v>
      </c>
      <c r="E4" t="s">
        <v>22</v>
      </c>
      <c r="F4">
        <v>6</v>
      </c>
      <c r="G4" t="s">
        <v>23</v>
      </c>
      <c r="H4" t="s">
        <v>24</v>
      </c>
      <c r="I4" t="s">
        <v>25</v>
      </c>
      <c r="K4">
        <v>52</v>
      </c>
      <c r="L4" t="s">
        <v>26</v>
      </c>
      <c r="M4" t="s">
        <v>27</v>
      </c>
    </row>
    <row r="5" spans="1:13" x14ac:dyDescent="0.3">
      <c r="A5" t="s">
        <v>28</v>
      </c>
      <c r="B5" s="7">
        <v>45017</v>
      </c>
      <c r="C5" s="8">
        <v>0.79652777777777772</v>
      </c>
      <c r="D5" t="s">
        <v>29</v>
      </c>
      <c r="E5" t="s">
        <v>22</v>
      </c>
      <c r="F5">
        <v>64</v>
      </c>
      <c r="G5" t="s">
        <v>23</v>
      </c>
      <c r="H5" t="s">
        <v>24</v>
      </c>
      <c r="I5" t="s">
        <v>30</v>
      </c>
      <c r="K5">
        <v>59</v>
      </c>
      <c r="L5" t="s">
        <v>31</v>
      </c>
      <c r="M5" t="s">
        <v>27</v>
      </c>
    </row>
    <row r="6" spans="1:13" x14ac:dyDescent="0.3">
      <c r="A6" t="s">
        <v>32</v>
      </c>
      <c r="B6" s="7">
        <v>45383</v>
      </c>
      <c r="C6" s="8">
        <v>0.36527777777777776</v>
      </c>
      <c r="D6" t="s">
        <v>33</v>
      </c>
      <c r="E6" t="s">
        <v>22</v>
      </c>
      <c r="F6">
        <v>76</v>
      </c>
      <c r="G6" t="s">
        <v>23</v>
      </c>
      <c r="H6" t="s">
        <v>24</v>
      </c>
      <c r="I6" t="s">
        <v>30</v>
      </c>
      <c r="K6">
        <v>23</v>
      </c>
      <c r="L6" t="s">
        <v>34</v>
      </c>
      <c r="M6" t="s">
        <v>35</v>
      </c>
    </row>
    <row r="7" spans="1:13" x14ac:dyDescent="0.3">
      <c r="A7" t="s">
        <v>36</v>
      </c>
      <c r="B7" s="7">
        <v>45017</v>
      </c>
      <c r="C7" s="8">
        <v>0.40902777777777777</v>
      </c>
      <c r="D7" t="s">
        <v>37</v>
      </c>
      <c r="E7" t="s">
        <v>38</v>
      </c>
      <c r="F7">
        <v>38</v>
      </c>
      <c r="G7" t="s">
        <v>23</v>
      </c>
      <c r="H7" t="s">
        <v>24</v>
      </c>
      <c r="I7" t="s">
        <v>30</v>
      </c>
      <c r="K7">
        <v>50</v>
      </c>
      <c r="L7" t="s">
        <v>39</v>
      </c>
      <c r="M7" t="s">
        <v>27</v>
      </c>
    </row>
    <row r="8" spans="1:13" x14ac:dyDescent="0.3">
      <c r="A8" t="s">
        <v>40</v>
      </c>
      <c r="B8" s="7">
        <v>45383</v>
      </c>
      <c r="C8" s="8">
        <v>0.58263888888888893</v>
      </c>
      <c r="D8" t="s">
        <v>41</v>
      </c>
      <c r="E8" t="s">
        <v>22</v>
      </c>
      <c r="F8">
        <v>11</v>
      </c>
      <c r="G8" t="s">
        <v>42</v>
      </c>
      <c r="H8" t="s">
        <v>24</v>
      </c>
      <c r="I8" t="s">
        <v>30</v>
      </c>
      <c r="K8">
        <v>20</v>
      </c>
      <c r="L8" t="s">
        <v>43</v>
      </c>
      <c r="M8" t="s">
        <v>35</v>
      </c>
    </row>
    <row r="9" spans="1:13" x14ac:dyDescent="0.3">
      <c r="A9" t="s">
        <v>44</v>
      </c>
      <c r="B9" s="7">
        <v>45017</v>
      </c>
      <c r="C9" s="8">
        <v>0.7368055555555556</v>
      </c>
      <c r="D9" t="s">
        <v>45</v>
      </c>
      <c r="E9" t="s">
        <v>22</v>
      </c>
      <c r="F9">
        <v>38</v>
      </c>
      <c r="G9" t="s">
        <v>42</v>
      </c>
      <c r="H9" t="s">
        <v>24</v>
      </c>
      <c r="I9" t="s">
        <v>25</v>
      </c>
      <c r="K9">
        <v>54</v>
      </c>
      <c r="L9" t="s">
        <v>39</v>
      </c>
      <c r="M9" t="s">
        <v>27</v>
      </c>
    </row>
    <row r="10" spans="1:13" x14ac:dyDescent="0.3">
      <c r="A10" t="s">
        <v>46</v>
      </c>
      <c r="B10" s="7">
        <v>45017</v>
      </c>
      <c r="C10" s="8">
        <v>0.58819444444444446</v>
      </c>
      <c r="D10" t="s">
        <v>47</v>
      </c>
      <c r="E10" t="s">
        <v>22</v>
      </c>
      <c r="F10">
        <v>46</v>
      </c>
      <c r="G10" t="s">
        <v>42</v>
      </c>
      <c r="H10" t="s">
        <v>24</v>
      </c>
      <c r="I10" t="s">
        <v>25</v>
      </c>
      <c r="K10">
        <v>45</v>
      </c>
      <c r="L10" t="s">
        <v>48</v>
      </c>
      <c r="M10" t="s">
        <v>27</v>
      </c>
    </row>
    <row r="11" spans="1:13" x14ac:dyDescent="0.3">
      <c r="A11" t="s">
        <v>49</v>
      </c>
      <c r="B11" s="7">
        <v>45017</v>
      </c>
      <c r="C11" s="8">
        <v>0.76111111111111107</v>
      </c>
      <c r="D11" t="s">
        <v>50</v>
      </c>
      <c r="E11" t="s">
        <v>22</v>
      </c>
      <c r="F11">
        <v>55</v>
      </c>
      <c r="G11" t="s">
        <v>42</v>
      </c>
      <c r="H11" t="s">
        <v>24</v>
      </c>
      <c r="I11" t="s">
        <v>25</v>
      </c>
      <c r="K11">
        <v>24</v>
      </c>
      <c r="L11" t="s">
        <v>51</v>
      </c>
      <c r="M11" t="s">
        <v>35</v>
      </c>
    </row>
    <row r="12" spans="1:13" x14ac:dyDescent="0.3">
      <c r="A12" t="s">
        <v>52</v>
      </c>
      <c r="B12" s="7">
        <v>45017</v>
      </c>
      <c r="C12" s="8">
        <v>0.99027777777777781</v>
      </c>
      <c r="D12" t="s">
        <v>53</v>
      </c>
      <c r="E12" t="s">
        <v>22</v>
      </c>
      <c r="F12">
        <v>79</v>
      </c>
      <c r="G12" t="s">
        <v>54</v>
      </c>
      <c r="H12" t="s">
        <v>24</v>
      </c>
      <c r="I12" t="s">
        <v>30</v>
      </c>
      <c r="K12">
        <v>45</v>
      </c>
      <c r="L12" t="s">
        <v>34</v>
      </c>
      <c r="M12" t="s">
        <v>27</v>
      </c>
    </row>
    <row r="13" spans="1:13" x14ac:dyDescent="0.3">
      <c r="A13" t="s">
        <v>55</v>
      </c>
      <c r="B13" s="7">
        <v>45383</v>
      </c>
      <c r="C13" s="8">
        <v>0.9291666666666667</v>
      </c>
      <c r="D13" t="s">
        <v>56</v>
      </c>
      <c r="E13" t="s">
        <v>38</v>
      </c>
      <c r="F13">
        <v>1</v>
      </c>
      <c r="G13" t="s">
        <v>57</v>
      </c>
      <c r="H13" t="s">
        <v>24</v>
      </c>
      <c r="I13" t="s">
        <v>30</v>
      </c>
      <c r="K13">
        <v>12</v>
      </c>
      <c r="L13" t="s">
        <v>26</v>
      </c>
      <c r="M13" t="s">
        <v>35</v>
      </c>
    </row>
    <row r="14" spans="1:13" x14ac:dyDescent="0.3">
      <c r="A14" t="s">
        <v>58</v>
      </c>
      <c r="B14" s="7">
        <v>45383</v>
      </c>
      <c r="C14" s="8">
        <v>0.91180555555555554</v>
      </c>
      <c r="D14" t="s">
        <v>59</v>
      </c>
      <c r="E14" t="s">
        <v>22</v>
      </c>
      <c r="F14">
        <v>72</v>
      </c>
      <c r="G14" t="s">
        <v>57</v>
      </c>
      <c r="H14" t="s">
        <v>24</v>
      </c>
      <c r="I14" t="s">
        <v>25</v>
      </c>
      <c r="K14">
        <v>51</v>
      </c>
      <c r="L14" t="s">
        <v>34</v>
      </c>
      <c r="M14" t="s">
        <v>27</v>
      </c>
    </row>
    <row r="15" spans="1:13" x14ac:dyDescent="0.3">
      <c r="A15" t="s">
        <v>60</v>
      </c>
      <c r="B15" s="7">
        <v>45383</v>
      </c>
      <c r="C15" s="8">
        <v>0.15</v>
      </c>
      <c r="D15" t="s">
        <v>61</v>
      </c>
      <c r="E15" t="s">
        <v>22</v>
      </c>
      <c r="F15">
        <v>21</v>
      </c>
      <c r="G15" t="s">
        <v>57</v>
      </c>
      <c r="H15" t="s">
        <v>24</v>
      </c>
      <c r="I15" t="s">
        <v>30</v>
      </c>
      <c r="K15">
        <v>40</v>
      </c>
      <c r="L15" t="s">
        <v>62</v>
      </c>
      <c r="M15" t="s">
        <v>27</v>
      </c>
    </row>
    <row r="16" spans="1:13" x14ac:dyDescent="0.3">
      <c r="A16" t="s">
        <v>63</v>
      </c>
      <c r="B16" s="7">
        <v>45383</v>
      </c>
      <c r="C16" s="8">
        <v>0.88680555555555551</v>
      </c>
      <c r="D16" t="s">
        <v>64</v>
      </c>
      <c r="E16" t="s">
        <v>38</v>
      </c>
      <c r="F16">
        <v>47</v>
      </c>
      <c r="G16" t="s">
        <v>65</v>
      </c>
      <c r="H16" t="s">
        <v>24</v>
      </c>
      <c r="I16" t="s">
        <v>25</v>
      </c>
      <c r="K16">
        <v>55</v>
      </c>
      <c r="L16" t="s">
        <v>48</v>
      </c>
      <c r="M16" t="s">
        <v>27</v>
      </c>
    </row>
    <row r="17" spans="1:13" x14ac:dyDescent="0.3">
      <c r="A17" t="s">
        <v>66</v>
      </c>
      <c r="B17" s="7">
        <v>45383</v>
      </c>
      <c r="C17" s="8">
        <v>0.74375000000000002</v>
      </c>
      <c r="D17" t="s">
        <v>67</v>
      </c>
      <c r="E17" t="s">
        <v>38</v>
      </c>
      <c r="F17">
        <v>59</v>
      </c>
      <c r="G17" t="s">
        <v>65</v>
      </c>
      <c r="H17" t="s">
        <v>24</v>
      </c>
      <c r="I17" t="s">
        <v>25</v>
      </c>
      <c r="K17">
        <v>20</v>
      </c>
      <c r="L17" t="s">
        <v>51</v>
      </c>
      <c r="M17" t="s">
        <v>35</v>
      </c>
    </row>
    <row r="18" spans="1:13" x14ac:dyDescent="0.3">
      <c r="A18" t="s">
        <v>68</v>
      </c>
      <c r="B18" s="7">
        <v>45017</v>
      </c>
      <c r="C18" s="8">
        <v>0.11458333333333333</v>
      </c>
      <c r="D18" t="s">
        <v>69</v>
      </c>
      <c r="E18" t="s">
        <v>38</v>
      </c>
      <c r="F18">
        <v>62</v>
      </c>
      <c r="G18" t="s">
        <v>65</v>
      </c>
      <c r="H18" t="s">
        <v>24</v>
      </c>
      <c r="I18" t="s">
        <v>30</v>
      </c>
      <c r="K18">
        <v>12</v>
      </c>
      <c r="L18" t="s">
        <v>31</v>
      </c>
      <c r="M18" t="s">
        <v>35</v>
      </c>
    </row>
    <row r="19" spans="1:13" x14ac:dyDescent="0.3">
      <c r="A19" t="s">
        <v>70</v>
      </c>
      <c r="B19" s="7">
        <v>45383</v>
      </c>
      <c r="C19" s="8">
        <v>0.48541666666666666</v>
      </c>
      <c r="D19" t="s">
        <v>71</v>
      </c>
      <c r="E19" t="s">
        <v>22</v>
      </c>
      <c r="F19">
        <v>42</v>
      </c>
      <c r="G19" t="s">
        <v>72</v>
      </c>
      <c r="H19" t="s">
        <v>24</v>
      </c>
      <c r="I19" t="s">
        <v>25</v>
      </c>
      <c r="K19">
        <v>44</v>
      </c>
      <c r="L19" t="s">
        <v>48</v>
      </c>
      <c r="M19" t="s">
        <v>27</v>
      </c>
    </row>
    <row r="20" spans="1:13" x14ac:dyDescent="0.3">
      <c r="A20" t="s">
        <v>73</v>
      </c>
      <c r="B20" s="7">
        <v>45017</v>
      </c>
      <c r="C20" s="8">
        <v>0.63194444444444442</v>
      </c>
      <c r="D20" t="s">
        <v>74</v>
      </c>
      <c r="E20" t="s">
        <v>22</v>
      </c>
      <c r="F20">
        <v>20</v>
      </c>
      <c r="G20" t="s">
        <v>65</v>
      </c>
      <c r="H20" t="s">
        <v>75</v>
      </c>
      <c r="I20" t="s">
        <v>30</v>
      </c>
      <c r="K20">
        <v>30</v>
      </c>
      <c r="L20" t="s">
        <v>43</v>
      </c>
      <c r="M20" t="s">
        <v>35</v>
      </c>
    </row>
    <row r="21" spans="1:13" x14ac:dyDescent="0.3">
      <c r="A21" t="s">
        <v>76</v>
      </c>
      <c r="B21" s="7">
        <v>45017</v>
      </c>
      <c r="C21" s="8">
        <v>0.30277777777777776</v>
      </c>
      <c r="D21" t="s">
        <v>77</v>
      </c>
      <c r="E21" t="s">
        <v>38</v>
      </c>
      <c r="F21">
        <v>69</v>
      </c>
      <c r="G21" t="s">
        <v>65</v>
      </c>
      <c r="H21" t="s">
        <v>75</v>
      </c>
      <c r="I21" t="s">
        <v>25</v>
      </c>
      <c r="K21">
        <v>50</v>
      </c>
      <c r="L21" t="s">
        <v>31</v>
      </c>
      <c r="M21" t="s">
        <v>27</v>
      </c>
    </row>
    <row r="22" spans="1:13" x14ac:dyDescent="0.3">
      <c r="A22" t="s">
        <v>78</v>
      </c>
      <c r="B22" s="7">
        <v>45017</v>
      </c>
      <c r="C22" s="8">
        <v>0.9506944444444444</v>
      </c>
      <c r="D22" t="s">
        <v>79</v>
      </c>
      <c r="E22" t="s">
        <v>22</v>
      </c>
      <c r="F22">
        <v>71</v>
      </c>
      <c r="G22" t="s">
        <v>54</v>
      </c>
      <c r="H22" t="s">
        <v>75</v>
      </c>
      <c r="I22" t="s">
        <v>25</v>
      </c>
      <c r="K22">
        <v>14</v>
      </c>
      <c r="L22" t="s">
        <v>34</v>
      </c>
      <c r="M22" t="s">
        <v>35</v>
      </c>
    </row>
    <row r="23" spans="1:13" x14ac:dyDescent="0.3">
      <c r="A23" t="s">
        <v>80</v>
      </c>
      <c r="B23" s="7">
        <v>45017</v>
      </c>
      <c r="C23" s="8">
        <v>0.19027777777777777</v>
      </c>
      <c r="D23" t="s">
        <v>81</v>
      </c>
      <c r="E23" t="s">
        <v>38</v>
      </c>
      <c r="F23">
        <v>79</v>
      </c>
      <c r="G23" t="s">
        <v>23</v>
      </c>
      <c r="H23" t="s">
        <v>75</v>
      </c>
      <c r="I23" t="s">
        <v>30</v>
      </c>
      <c r="K23">
        <v>21</v>
      </c>
      <c r="L23" t="s">
        <v>34</v>
      </c>
      <c r="M23" t="s">
        <v>35</v>
      </c>
    </row>
    <row r="24" spans="1:13" x14ac:dyDescent="0.3">
      <c r="A24" t="s">
        <v>82</v>
      </c>
      <c r="B24" s="7">
        <v>45383</v>
      </c>
      <c r="C24" s="8">
        <v>0.43333333333333335</v>
      </c>
      <c r="D24" t="s">
        <v>83</v>
      </c>
      <c r="E24" t="s">
        <v>22</v>
      </c>
      <c r="F24">
        <v>56</v>
      </c>
      <c r="G24" t="s">
        <v>23</v>
      </c>
      <c r="H24" t="s">
        <v>84</v>
      </c>
      <c r="I24" t="s">
        <v>30</v>
      </c>
      <c r="K24">
        <v>43</v>
      </c>
      <c r="L24" t="s">
        <v>51</v>
      </c>
      <c r="M24" t="s">
        <v>27</v>
      </c>
    </row>
    <row r="25" spans="1:13" x14ac:dyDescent="0.3">
      <c r="A25" t="s">
        <v>85</v>
      </c>
      <c r="B25" s="7">
        <v>45017</v>
      </c>
      <c r="C25" s="8">
        <v>0.93680555555555556</v>
      </c>
      <c r="D25" t="s">
        <v>86</v>
      </c>
      <c r="E25" t="s">
        <v>22</v>
      </c>
      <c r="F25">
        <v>43</v>
      </c>
      <c r="G25" t="s">
        <v>57</v>
      </c>
      <c r="H25" t="s">
        <v>84</v>
      </c>
      <c r="I25" t="s">
        <v>30</v>
      </c>
      <c r="K25">
        <v>47</v>
      </c>
      <c r="L25" t="s">
        <v>48</v>
      </c>
      <c r="M25" t="s">
        <v>27</v>
      </c>
    </row>
    <row r="26" spans="1:13" x14ac:dyDescent="0.3">
      <c r="A26" t="s">
        <v>87</v>
      </c>
      <c r="B26" s="7">
        <v>45383</v>
      </c>
      <c r="C26" s="8">
        <v>0.69722222222222219</v>
      </c>
      <c r="D26" t="s">
        <v>88</v>
      </c>
      <c r="E26" t="s">
        <v>22</v>
      </c>
      <c r="F26">
        <v>37</v>
      </c>
      <c r="G26" t="s">
        <v>89</v>
      </c>
      <c r="H26" t="s">
        <v>84</v>
      </c>
      <c r="I26" t="s">
        <v>25</v>
      </c>
      <c r="K26">
        <v>20</v>
      </c>
      <c r="L26" t="s">
        <v>39</v>
      </c>
      <c r="M26" t="s">
        <v>35</v>
      </c>
    </row>
    <row r="27" spans="1:13" x14ac:dyDescent="0.3">
      <c r="A27" t="s">
        <v>90</v>
      </c>
      <c r="B27" s="7">
        <v>45017</v>
      </c>
      <c r="C27" s="8">
        <v>0.92361111111111116</v>
      </c>
      <c r="D27" t="s">
        <v>91</v>
      </c>
      <c r="E27" t="s">
        <v>38</v>
      </c>
      <c r="F27">
        <v>10</v>
      </c>
      <c r="G27" t="s">
        <v>54</v>
      </c>
      <c r="H27" t="s">
        <v>92</v>
      </c>
      <c r="I27" t="s">
        <v>30</v>
      </c>
      <c r="K27">
        <v>45</v>
      </c>
      <c r="L27" t="s">
        <v>26</v>
      </c>
      <c r="M27" t="s">
        <v>27</v>
      </c>
    </row>
    <row r="28" spans="1:13" x14ac:dyDescent="0.3">
      <c r="A28" t="s">
        <v>93</v>
      </c>
      <c r="B28" s="7">
        <v>45383</v>
      </c>
      <c r="C28" s="8">
        <v>0.17847222222222223</v>
      </c>
      <c r="D28" t="s">
        <v>94</v>
      </c>
      <c r="E28" t="s">
        <v>38</v>
      </c>
      <c r="F28">
        <v>20</v>
      </c>
      <c r="G28" t="s">
        <v>57</v>
      </c>
      <c r="H28" t="s">
        <v>95</v>
      </c>
      <c r="I28" t="s">
        <v>30</v>
      </c>
      <c r="K28">
        <v>24</v>
      </c>
      <c r="L28" t="s">
        <v>43</v>
      </c>
      <c r="M28" t="s">
        <v>35</v>
      </c>
    </row>
    <row r="29" spans="1:13" x14ac:dyDescent="0.3">
      <c r="A29" t="s">
        <v>96</v>
      </c>
      <c r="B29" s="7">
        <v>45383</v>
      </c>
      <c r="C29" s="8">
        <v>0.93541666666666667</v>
      </c>
      <c r="D29" t="s">
        <v>97</v>
      </c>
      <c r="E29" t="s">
        <v>38</v>
      </c>
      <c r="F29">
        <v>4</v>
      </c>
      <c r="G29" t="s">
        <v>54</v>
      </c>
      <c r="H29" t="s">
        <v>98</v>
      </c>
      <c r="I29" t="s">
        <v>30</v>
      </c>
      <c r="K29">
        <v>30</v>
      </c>
      <c r="L29" t="s">
        <v>26</v>
      </c>
      <c r="M29" t="s">
        <v>35</v>
      </c>
    </row>
    <row r="30" spans="1:13" x14ac:dyDescent="0.3">
      <c r="A30" t="s">
        <v>99</v>
      </c>
      <c r="B30" s="7">
        <v>45017</v>
      </c>
      <c r="C30" s="8">
        <v>5.0694444444444445E-2</v>
      </c>
      <c r="D30" t="s">
        <v>100</v>
      </c>
      <c r="E30" t="s">
        <v>38</v>
      </c>
      <c r="F30">
        <v>60</v>
      </c>
      <c r="G30" t="s">
        <v>54</v>
      </c>
      <c r="H30" t="s">
        <v>92</v>
      </c>
      <c r="I30" t="s">
        <v>25</v>
      </c>
      <c r="J30">
        <v>1</v>
      </c>
      <c r="K30">
        <v>35</v>
      </c>
      <c r="L30" t="s">
        <v>51</v>
      </c>
      <c r="M30" t="s">
        <v>27</v>
      </c>
    </row>
    <row r="31" spans="1:13" x14ac:dyDescent="0.3">
      <c r="A31" t="s">
        <v>101</v>
      </c>
      <c r="B31" s="7">
        <v>45017</v>
      </c>
      <c r="C31" s="8">
        <v>0.55902777777777779</v>
      </c>
      <c r="D31" t="s">
        <v>102</v>
      </c>
      <c r="E31" t="s">
        <v>38</v>
      </c>
      <c r="F31">
        <v>31</v>
      </c>
      <c r="G31" t="s">
        <v>23</v>
      </c>
      <c r="H31" t="s">
        <v>75</v>
      </c>
      <c r="I31" t="s">
        <v>30</v>
      </c>
      <c r="J31">
        <v>0</v>
      </c>
      <c r="K31">
        <v>56</v>
      </c>
      <c r="L31" t="s">
        <v>39</v>
      </c>
      <c r="M31" t="s">
        <v>27</v>
      </c>
    </row>
    <row r="32" spans="1:13" x14ac:dyDescent="0.3">
      <c r="A32" t="s">
        <v>103</v>
      </c>
      <c r="B32" s="7">
        <v>45017</v>
      </c>
      <c r="C32" s="8">
        <v>0.56319444444444444</v>
      </c>
      <c r="D32" t="s">
        <v>104</v>
      </c>
      <c r="E32" t="s">
        <v>22</v>
      </c>
      <c r="F32">
        <v>26</v>
      </c>
      <c r="G32" t="s">
        <v>57</v>
      </c>
      <c r="H32" t="s">
        <v>24</v>
      </c>
      <c r="I32" t="s">
        <v>30</v>
      </c>
      <c r="J32">
        <v>8</v>
      </c>
      <c r="K32">
        <v>44</v>
      </c>
      <c r="L32" t="s">
        <v>62</v>
      </c>
      <c r="M32" t="s">
        <v>27</v>
      </c>
    </row>
    <row r="33" spans="1:13" x14ac:dyDescent="0.3">
      <c r="A33" t="s">
        <v>105</v>
      </c>
      <c r="B33" s="7">
        <v>45017</v>
      </c>
      <c r="C33" s="8">
        <v>5.6250000000000001E-2</v>
      </c>
      <c r="D33" t="s">
        <v>106</v>
      </c>
      <c r="E33" t="s">
        <v>38</v>
      </c>
      <c r="F33">
        <v>18</v>
      </c>
      <c r="G33" t="s">
        <v>54</v>
      </c>
      <c r="H33" t="s">
        <v>24</v>
      </c>
      <c r="I33" t="s">
        <v>25</v>
      </c>
      <c r="J33">
        <v>3</v>
      </c>
      <c r="K33">
        <v>40</v>
      </c>
      <c r="L33" t="s">
        <v>43</v>
      </c>
      <c r="M33" t="s">
        <v>27</v>
      </c>
    </row>
    <row r="34" spans="1:13" x14ac:dyDescent="0.3">
      <c r="A34" t="s">
        <v>107</v>
      </c>
      <c r="B34" s="7">
        <v>45017</v>
      </c>
      <c r="C34" s="8">
        <v>0.58888888888888891</v>
      </c>
      <c r="D34" t="s">
        <v>108</v>
      </c>
      <c r="E34" t="s">
        <v>38</v>
      </c>
      <c r="F34">
        <v>53</v>
      </c>
      <c r="G34" t="s">
        <v>42</v>
      </c>
      <c r="H34" t="s">
        <v>24</v>
      </c>
      <c r="I34" t="s">
        <v>25</v>
      </c>
      <c r="J34">
        <v>7</v>
      </c>
      <c r="K34">
        <v>46</v>
      </c>
      <c r="L34" t="s">
        <v>51</v>
      </c>
      <c r="M34"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BABF5-F9B4-481E-9393-669B397D7545}">
  <dimension ref="A3:V92"/>
  <sheetViews>
    <sheetView topLeftCell="A4" zoomScale="47" zoomScaleNormal="51" workbookViewId="0">
      <selection activeCell="Z106" sqref="Z106"/>
    </sheetView>
  </sheetViews>
  <sheetFormatPr defaultRowHeight="14.4" x14ac:dyDescent="0.3"/>
  <cols>
    <col min="1" max="1" width="20.44140625" bestFit="1" customWidth="1"/>
    <col min="2" max="2" width="26.77734375" bestFit="1" customWidth="1"/>
    <col min="3" max="3" width="18.21875" bestFit="1" customWidth="1"/>
    <col min="4" max="4" width="12.5546875" customWidth="1"/>
    <col min="5" max="5" width="5.77734375" customWidth="1"/>
    <col min="8" max="8" width="20.44140625" bestFit="1" customWidth="1"/>
    <col min="9" max="9" width="40.109375" bestFit="1" customWidth="1"/>
    <col min="10" max="10" width="27.5546875" bestFit="1" customWidth="1"/>
    <col min="11" max="11" width="20.44140625" bestFit="1" customWidth="1"/>
    <col min="12" max="12" width="38.88671875" bestFit="1" customWidth="1"/>
    <col min="13" max="13" width="27.33203125" bestFit="1" customWidth="1"/>
    <col min="14" max="14" width="18.6640625" customWidth="1"/>
    <col min="15" max="15" width="20.44140625" bestFit="1" customWidth="1"/>
    <col min="16" max="16" width="29.33203125" bestFit="1" customWidth="1"/>
    <col min="21" max="21" width="19.109375" customWidth="1"/>
    <col min="22" max="22" width="32.88671875" customWidth="1"/>
  </cols>
  <sheetData>
    <row r="3" spans="1:22" x14ac:dyDescent="0.3">
      <c r="A3" t="s">
        <v>3</v>
      </c>
    </row>
    <row r="4" spans="1:22" x14ac:dyDescent="0.3">
      <c r="A4" t="s">
        <v>0</v>
      </c>
    </row>
    <row r="5" spans="1:22" x14ac:dyDescent="0.3">
      <c r="A5" s="21">
        <v>431</v>
      </c>
      <c r="H5" s="1" t="s">
        <v>4</v>
      </c>
      <c r="I5" t="s">
        <v>0</v>
      </c>
      <c r="N5" s="1" t="s">
        <v>4</v>
      </c>
      <c r="O5" t="s">
        <v>1</v>
      </c>
      <c r="U5" s="1" t="s">
        <v>4</v>
      </c>
      <c r="V5" t="s">
        <v>2</v>
      </c>
    </row>
    <row r="6" spans="1:22" x14ac:dyDescent="0.3">
      <c r="H6" s="4" t="s">
        <v>123</v>
      </c>
      <c r="I6" s="21">
        <v>13</v>
      </c>
      <c r="N6" s="4" t="s">
        <v>123</v>
      </c>
      <c r="O6" s="2">
        <v>35.692307692307693</v>
      </c>
      <c r="U6" s="4" t="s">
        <v>123</v>
      </c>
      <c r="V6" s="2">
        <v>4.166666666666667</v>
      </c>
    </row>
    <row r="7" spans="1:22" x14ac:dyDescent="0.3">
      <c r="H7" s="4" t="s">
        <v>124</v>
      </c>
      <c r="I7" s="21">
        <v>10</v>
      </c>
      <c r="N7" s="4" t="s">
        <v>124</v>
      </c>
      <c r="O7" s="2">
        <v>45.4</v>
      </c>
      <c r="U7" s="4" t="s">
        <v>124</v>
      </c>
      <c r="V7" s="2">
        <v>5.75</v>
      </c>
    </row>
    <row r="8" spans="1:22" x14ac:dyDescent="0.3">
      <c r="H8" s="4" t="s">
        <v>125</v>
      </c>
      <c r="I8" s="21">
        <v>8</v>
      </c>
      <c r="N8" s="4" t="s">
        <v>125</v>
      </c>
      <c r="O8" s="2">
        <v>29.375</v>
      </c>
      <c r="U8" s="4" t="s">
        <v>125</v>
      </c>
      <c r="V8" s="2">
        <v>4.75</v>
      </c>
    </row>
    <row r="9" spans="1:22" x14ac:dyDescent="0.3">
      <c r="H9" s="4" t="s">
        <v>126</v>
      </c>
      <c r="I9" s="21">
        <v>12</v>
      </c>
      <c r="N9" s="4" t="s">
        <v>126</v>
      </c>
      <c r="O9" s="2">
        <v>34.583333333333336</v>
      </c>
      <c r="U9" s="4" t="s">
        <v>126</v>
      </c>
      <c r="V9" s="2">
        <v>7</v>
      </c>
    </row>
    <row r="10" spans="1:22" x14ac:dyDescent="0.3">
      <c r="H10" s="4" t="s">
        <v>127</v>
      </c>
      <c r="I10" s="21">
        <v>19</v>
      </c>
      <c r="N10" s="4" t="s">
        <v>127</v>
      </c>
      <c r="O10" s="2">
        <v>38.684210526315788</v>
      </c>
      <c r="U10" s="4" t="s">
        <v>127</v>
      </c>
      <c r="V10" s="2">
        <v>3.1428571428571428</v>
      </c>
    </row>
    <row r="11" spans="1:22" x14ac:dyDescent="0.3">
      <c r="H11" s="4" t="s">
        <v>128</v>
      </c>
      <c r="I11" s="21">
        <v>9</v>
      </c>
      <c r="N11" s="4" t="s">
        <v>128</v>
      </c>
      <c r="O11" s="2">
        <v>34.777777777777779</v>
      </c>
      <c r="U11" s="4" t="s">
        <v>128</v>
      </c>
      <c r="V11" s="2">
        <v>8</v>
      </c>
    </row>
    <row r="12" spans="1:22" x14ac:dyDescent="0.3">
      <c r="H12" s="4" t="s">
        <v>129</v>
      </c>
      <c r="I12" s="21">
        <v>13</v>
      </c>
      <c r="N12" s="4" t="s">
        <v>129</v>
      </c>
      <c r="O12" s="2">
        <v>37.307692307692307</v>
      </c>
      <c r="U12" s="4" t="s">
        <v>129</v>
      </c>
      <c r="V12" s="2">
        <v>5.25</v>
      </c>
    </row>
    <row r="13" spans="1:22" x14ac:dyDescent="0.3">
      <c r="A13" t="s">
        <v>1</v>
      </c>
      <c r="H13" s="4" t="s">
        <v>130</v>
      </c>
      <c r="I13" s="21">
        <v>19</v>
      </c>
      <c r="N13" s="4" t="s">
        <v>130</v>
      </c>
      <c r="O13" s="2">
        <v>35.631578947368418</v>
      </c>
      <c r="U13" s="4" t="s">
        <v>130</v>
      </c>
      <c r="V13" s="2">
        <v>4.5714285714285712</v>
      </c>
    </row>
    <row r="14" spans="1:22" x14ac:dyDescent="0.3">
      <c r="A14" s="2">
        <v>36.670533642691417</v>
      </c>
      <c r="H14" s="4" t="s">
        <v>131</v>
      </c>
      <c r="I14" s="21">
        <v>10</v>
      </c>
      <c r="N14" s="4" t="s">
        <v>131</v>
      </c>
      <c r="O14" s="2">
        <v>36.6</v>
      </c>
      <c r="U14" s="4" t="s">
        <v>131</v>
      </c>
      <c r="V14" s="2">
        <v>2.75</v>
      </c>
    </row>
    <row r="15" spans="1:22" x14ac:dyDescent="0.3">
      <c r="H15" s="4" t="s">
        <v>132</v>
      </c>
      <c r="I15" s="21">
        <v>20</v>
      </c>
      <c r="N15" s="4" t="s">
        <v>132</v>
      </c>
      <c r="O15" s="2">
        <v>39.700000000000003</v>
      </c>
      <c r="U15" s="4" t="s">
        <v>132</v>
      </c>
      <c r="V15" s="2">
        <v>4.5</v>
      </c>
    </row>
    <row r="16" spans="1:22" x14ac:dyDescent="0.3">
      <c r="H16" s="4" t="s">
        <v>133</v>
      </c>
      <c r="I16" s="21">
        <v>15</v>
      </c>
      <c r="N16" s="4" t="s">
        <v>133</v>
      </c>
      <c r="O16" s="2">
        <v>37.4</v>
      </c>
      <c r="U16" s="4" t="s">
        <v>133</v>
      </c>
      <c r="V16" s="2">
        <v>5.5</v>
      </c>
    </row>
    <row r="17" spans="1:22" x14ac:dyDescent="0.3">
      <c r="H17" s="4" t="s">
        <v>134</v>
      </c>
      <c r="I17" s="21">
        <v>13</v>
      </c>
      <c r="N17" s="4" t="s">
        <v>134</v>
      </c>
      <c r="O17" s="2">
        <v>27.76923076923077</v>
      </c>
      <c r="U17" s="4" t="s">
        <v>134</v>
      </c>
      <c r="V17" s="2">
        <v>5.6</v>
      </c>
    </row>
    <row r="18" spans="1:22" x14ac:dyDescent="0.3">
      <c r="A18" t="s">
        <v>2</v>
      </c>
      <c r="H18" s="4" t="s">
        <v>135</v>
      </c>
      <c r="I18" s="21">
        <v>9</v>
      </c>
      <c r="N18" s="4" t="s">
        <v>135</v>
      </c>
      <c r="O18" s="2">
        <v>38.777777777777779</v>
      </c>
      <c r="U18" s="4" t="s">
        <v>135</v>
      </c>
      <c r="V18" s="2">
        <v>5.75</v>
      </c>
    </row>
    <row r="19" spans="1:22" x14ac:dyDescent="0.3">
      <c r="A19" s="2">
        <v>4.7154471544715451</v>
      </c>
      <c r="H19" s="4" t="s">
        <v>136</v>
      </c>
      <c r="I19" s="21">
        <v>19</v>
      </c>
      <c r="N19" s="4" t="s">
        <v>136</v>
      </c>
      <c r="O19" s="2">
        <v>31</v>
      </c>
      <c r="U19" s="4" t="s">
        <v>136</v>
      </c>
      <c r="V19" s="2">
        <v>3.4444444444444446</v>
      </c>
    </row>
    <row r="20" spans="1:22" x14ac:dyDescent="0.3">
      <c r="H20" s="4" t="s">
        <v>137</v>
      </c>
      <c r="I20" s="21">
        <v>14</v>
      </c>
      <c r="N20" s="4" t="s">
        <v>137</v>
      </c>
      <c r="O20" s="2">
        <v>35.928571428571431</v>
      </c>
      <c r="U20" s="4" t="s">
        <v>137</v>
      </c>
      <c r="V20" s="2">
        <v>1.5</v>
      </c>
    </row>
    <row r="21" spans="1:22" x14ac:dyDescent="0.3">
      <c r="H21" s="4" t="s">
        <v>138</v>
      </c>
      <c r="I21" s="21">
        <v>17</v>
      </c>
      <c r="N21" s="4" t="s">
        <v>138</v>
      </c>
      <c r="O21" s="2">
        <v>37.882352941176471</v>
      </c>
      <c r="U21" s="4" t="s">
        <v>138</v>
      </c>
      <c r="V21" s="2">
        <v>3.6666666666666665</v>
      </c>
    </row>
    <row r="22" spans="1:22" x14ac:dyDescent="0.3">
      <c r="H22" s="4" t="s">
        <v>139</v>
      </c>
      <c r="I22" s="21">
        <v>17</v>
      </c>
      <c r="N22" s="4" t="s">
        <v>139</v>
      </c>
      <c r="O22" s="2">
        <v>40.588235294117645</v>
      </c>
      <c r="U22" s="4" t="s">
        <v>139</v>
      </c>
      <c r="V22" s="2">
        <v>4.4285714285714288</v>
      </c>
    </row>
    <row r="23" spans="1:22" x14ac:dyDescent="0.3">
      <c r="A23" s="1" t="s">
        <v>4</v>
      </c>
      <c r="B23" t="s">
        <v>111</v>
      </c>
      <c r="C23" s="11" t="s">
        <v>112</v>
      </c>
      <c r="H23" s="4" t="s">
        <v>140</v>
      </c>
      <c r="I23" s="21">
        <v>15</v>
      </c>
      <c r="N23" s="4" t="s">
        <v>140</v>
      </c>
      <c r="O23" s="2">
        <v>34.533333333333331</v>
      </c>
      <c r="U23" s="4" t="s">
        <v>140</v>
      </c>
      <c r="V23" s="2">
        <v>6</v>
      </c>
    </row>
    <row r="24" spans="1:22" x14ac:dyDescent="0.3">
      <c r="A24" s="4" t="s">
        <v>25</v>
      </c>
      <c r="B24" s="2">
        <v>224</v>
      </c>
      <c r="C24" s="11">
        <v>0.51972157772621808</v>
      </c>
      <c r="H24" s="4" t="s">
        <v>141</v>
      </c>
      <c r="I24" s="21">
        <v>9</v>
      </c>
      <c r="N24" s="4" t="s">
        <v>141</v>
      </c>
      <c r="O24" s="2">
        <v>40.333333333333336</v>
      </c>
      <c r="U24" s="4" t="s">
        <v>141</v>
      </c>
      <c r="V24" s="2">
        <v>2.6666666666666665</v>
      </c>
    </row>
    <row r="25" spans="1:22" x14ac:dyDescent="0.3">
      <c r="A25" s="4" t="s">
        <v>30</v>
      </c>
      <c r="B25" s="2">
        <v>207</v>
      </c>
      <c r="C25" s="11">
        <v>0.48027842227378192</v>
      </c>
      <c r="H25" s="4" t="s">
        <v>142</v>
      </c>
      <c r="I25" s="21">
        <v>14</v>
      </c>
      <c r="N25" s="4" t="s">
        <v>142</v>
      </c>
      <c r="O25" s="2">
        <v>35.285714285714285</v>
      </c>
      <c r="U25" s="4" t="s">
        <v>142</v>
      </c>
      <c r="V25" s="2">
        <v>7.5</v>
      </c>
    </row>
    <row r="26" spans="1:22" x14ac:dyDescent="0.3">
      <c r="A26" s="4" t="s">
        <v>5</v>
      </c>
      <c r="B26" s="2">
        <v>431</v>
      </c>
      <c r="C26" s="11">
        <v>1</v>
      </c>
      <c r="H26" s="4" t="s">
        <v>143</v>
      </c>
      <c r="I26" s="21">
        <v>22</v>
      </c>
      <c r="N26" s="4" t="s">
        <v>143</v>
      </c>
      <c r="O26" s="2">
        <v>35.5</v>
      </c>
      <c r="U26" s="4" t="s">
        <v>143</v>
      </c>
      <c r="V26" s="2">
        <v>4.5</v>
      </c>
    </row>
    <row r="27" spans="1:22" x14ac:dyDescent="0.3">
      <c r="H27" s="4" t="s">
        <v>144</v>
      </c>
      <c r="I27" s="21">
        <v>16</v>
      </c>
      <c r="N27" s="4" t="s">
        <v>144</v>
      </c>
      <c r="O27" s="2">
        <v>38.5625</v>
      </c>
      <c r="U27" s="4" t="s">
        <v>144</v>
      </c>
      <c r="V27" s="2">
        <v>8</v>
      </c>
    </row>
    <row r="28" spans="1:22" x14ac:dyDescent="0.3">
      <c r="H28" s="4" t="s">
        <v>145</v>
      </c>
      <c r="I28" s="21">
        <v>22</v>
      </c>
      <c r="N28" s="4" t="s">
        <v>145</v>
      </c>
      <c r="O28" s="2">
        <v>42.727272727272727</v>
      </c>
      <c r="U28" s="4" t="s">
        <v>145</v>
      </c>
      <c r="V28" s="2">
        <v>4.3636363636363633</v>
      </c>
    </row>
    <row r="29" spans="1:22" x14ac:dyDescent="0.3">
      <c r="H29" s="4" t="s">
        <v>146</v>
      </c>
      <c r="I29" s="21">
        <v>12</v>
      </c>
      <c r="N29" s="4" t="s">
        <v>146</v>
      </c>
      <c r="O29" s="2">
        <v>37.416666666666664</v>
      </c>
      <c r="U29" s="4" t="s">
        <v>146</v>
      </c>
      <c r="V29" s="2">
        <v>0</v>
      </c>
    </row>
    <row r="30" spans="1:22" x14ac:dyDescent="0.3">
      <c r="H30" s="4" t="s">
        <v>147</v>
      </c>
      <c r="I30" s="21">
        <v>20</v>
      </c>
      <c r="N30" s="4" t="s">
        <v>147</v>
      </c>
      <c r="O30" s="2">
        <v>32.450000000000003</v>
      </c>
      <c r="U30" s="4" t="s">
        <v>147</v>
      </c>
      <c r="V30" s="2">
        <v>10</v>
      </c>
    </row>
    <row r="31" spans="1:22" x14ac:dyDescent="0.3">
      <c r="H31" s="4" t="s">
        <v>148</v>
      </c>
      <c r="I31" s="21">
        <v>18</v>
      </c>
      <c r="N31" s="4" t="s">
        <v>148</v>
      </c>
      <c r="O31" s="2">
        <v>40.055555555555557</v>
      </c>
      <c r="U31" s="4" t="s">
        <v>149</v>
      </c>
      <c r="V31" s="2">
        <v>6.75</v>
      </c>
    </row>
    <row r="32" spans="1:22" x14ac:dyDescent="0.3">
      <c r="H32" s="4" t="s">
        <v>149</v>
      </c>
      <c r="I32" s="21">
        <v>18</v>
      </c>
      <c r="N32" s="4" t="s">
        <v>149</v>
      </c>
      <c r="O32" s="2">
        <v>31.666666666666668</v>
      </c>
      <c r="U32" s="4" t="s">
        <v>150</v>
      </c>
      <c r="V32" s="2">
        <v>7</v>
      </c>
    </row>
    <row r="33" spans="1:22" x14ac:dyDescent="0.3">
      <c r="H33" s="4" t="s">
        <v>150</v>
      </c>
      <c r="I33" s="21">
        <v>13</v>
      </c>
      <c r="N33" s="4" t="s">
        <v>150</v>
      </c>
      <c r="O33" s="2">
        <v>39.769230769230766</v>
      </c>
      <c r="U33" s="4" t="s">
        <v>151</v>
      </c>
      <c r="V33" s="2">
        <v>3.3333333333333335</v>
      </c>
    </row>
    <row r="34" spans="1:22" x14ac:dyDescent="0.3">
      <c r="H34" s="4" t="s">
        <v>151</v>
      </c>
      <c r="I34" s="21">
        <v>15</v>
      </c>
      <c r="N34" s="4" t="s">
        <v>151</v>
      </c>
      <c r="O34" s="2">
        <v>36.733333333333334</v>
      </c>
      <c r="U34" s="4" t="s">
        <v>5</v>
      </c>
      <c r="V34" s="21">
        <v>4.7154471544715451</v>
      </c>
    </row>
    <row r="35" spans="1:22" x14ac:dyDescent="0.3">
      <c r="H35" s="4" t="s">
        <v>5</v>
      </c>
      <c r="I35" s="21">
        <v>431</v>
      </c>
      <c r="N35" s="4" t="s">
        <v>5</v>
      </c>
      <c r="O35" s="21">
        <v>36.670533642691417</v>
      </c>
    </row>
    <row r="42" spans="1:22" x14ac:dyDescent="0.3">
      <c r="A42" s="13" t="s">
        <v>113</v>
      </c>
      <c r="B42" s="13" t="s">
        <v>114</v>
      </c>
      <c r="C42" s="14" t="s">
        <v>115</v>
      </c>
      <c r="D42" s="15"/>
      <c r="E42" s="16"/>
    </row>
    <row r="43" spans="1:22" ht="24.6" customHeight="1" x14ac:dyDescent="0.3">
      <c r="A43" t="str">
        <f>A25</f>
        <v>not admitted</v>
      </c>
      <c r="B43">
        <f>B25</f>
        <v>207</v>
      </c>
      <c r="C43" s="12">
        <f>C25</f>
        <v>0.48027842227378192</v>
      </c>
      <c r="D43" s="12"/>
    </row>
    <row r="44" spans="1:22" ht="24.6" customHeight="1" x14ac:dyDescent="0.3">
      <c r="A44" t="str">
        <f>A24</f>
        <v>admitted</v>
      </c>
      <c r="B44">
        <f>B24</f>
        <v>224</v>
      </c>
      <c r="C44" s="12">
        <f>C24</f>
        <v>0.51972157772621808</v>
      </c>
      <c r="D44" s="12"/>
    </row>
    <row r="51" spans="1:15" x14ac:dyDescent="0.3">
      <c r="A51" s="1" t="s">
        <v>4</v>
      </c>
      <c r="B51" t="s">
        <v>116</v>
      </c>
      <c r="H51" s="1" t="s">
        <v>4</v>
      </c>
      <c r="I51" t="s">
        <v>117</v>
      </c>
      <c r="K51" s="1" t="s">
        <v>4</v>
      </c>
      <c r="L51" t="s">
        <v>118</v>
      </c>
    </row>
    <row r="52" spans="1:15" x14ac:dyDescent="0.3">
      <c r="A52" s="4" t="s">
        <v>26</v>
      </c>
      <c r="B52" s="2">
        <v>42</v>
      </c>
      <c r="H52" s="4" t="s">
        <v>27</v>
      </c>
      <c r="I52" s="2">
        <v>283</v>
      </c>
      <c r="K52" s="4" t="s">
        <v>22</v>
      </c>
      <c r="L52" s="2">
        <v>194</v>
      </c>
    </row>
    <row r="53" spans="1:15" x14ac:dyDescent="0.3">
      <c r="A53" s="4" t="s">
        <v>43</v>
      </c>
      <c r="B53" s="2">
        <v>46</v>
      </c>
      <c r="H53" s="4" t="s">
        <v>35</v>
      </c>
      <c r="I53" s="2">
        <v>148</v>
      </c>
      <c r="K53" s="4" t="s">
        <v>38</v>
      </c>
      <c r="L53" s="2">
        <v>237</v>
      </c>
    </row>
    <row r="54" spans="1:15" x14ac:dyDescent="0.3">
      <c r="A54" s="4" t="s">
        <v>62</v>
      </c>
      <c r="B54" s="2">
        <v>54</v>
      </c>
      <c r="H54" s="4" t="s">
        <v>5</v>
      </c>
      <c r="I54" s="2">
        <v>431</v>
      </c>
      <c r="K54" s="4" t="s">
        <v>5</v>
      </c>
      <c r="L54" s="2">
        <v>431</v>
      </c>
    </row>
    <row r="55" spans="1:15" x14ac:dyDescent="0.3">
      <c r="A55" s="4" t="s">
        <v>39</v>
      </c>
      <c r="B55" s="2">
        <v>68</v>
      </c>
    </row>
    <row r="56" spans="1:15" x14ac:dyDescent="0.3">
      <c r="A56" s="4" t="s">
        <v>48</v>
      </c>
      <c r="B56" s="2">
        <v>62</v>
      </c>
    </row>
    <row r="57" spans="1:15" x14ac:dyDescent="0.3">
      <c r="A57" s="4" t="s">
        <v>51</v>
      </c>
      <c r="B57" s="2">
        <v>52</v>
      </c>
    </row>
    <row r="58" spans="1:15" x14ac:dyDescent="0.3">
      <c r="A58" s="4" t="s">
        <v>31</v>
      </c>
      <c r="B58" s="2">
        <v>54</v>
      </c>
    </row>
    <row r="59" spans="1:15" x14ac:dyDescent="0.3">
      <c r="A59" s="4" t="s">
        <v>34</v>
      </c>
      <c r="B59" s="2">
        <v>53</v>
      </c>
      <c r="K59" s="1" t="s">
        <v>4</v>
      </c>
      <c r="L59" t="s">
        <v>121</v>
      </c>
      <c r="O59" s="1" t="s">
        <v>4</v>
      </c>
    </row>
    <row r="60" spans="1:15" x14ac:dyDescent="0.3">
      <c r="A60" s="4" t="s">
        <v>5</v>
      </c>
      <c r="B60" s="2">
        <v>431</v>
      </c>
      <c r="K60" s="4" t="s">
        <v>24</v>
      </c>
      <c r="L60" s="2">
        <v>252</v>
      </c>
      <c r="O60" s="4" t="s">
        <v>122</v>
      </c>
    </row>
    <row r="61" spans="1:15" x14ac:dyDescent="0.3">
      <c r="K61" s="4" t="s">
        <v>75</v>
      </c>
      <c r="L61" s="2">
        <v>89</v>
      </c>
      <c r="O61" s="17" t="s">
        <v>152</v>
      </c>
    </row>
    <row r="62" spans="1:15" x14ac:dyDescent="0.3">
      <c r="K62" s="4" t="s">
        <v>84</v>
      </c>
      <c r="L62" s="2">
        <v>46</v>
      </c>
      <c r="O62" s="18" t="s">
        <v>153</v>
      </c>
    </row>
    <row r="63" spans="1:15" x14ac:dyDescent="0.3">
      <c r="K63" s="4" t="s">
        <v>119</v>
      </c>
      <c r="L63" s="2">
        <v>14</v>
      </c>
      <c r="O63" s="19">
        <v>45323</v>
      </c>
    </row>
    <row r="64" spans="1:15" x14ac:dyDescent="0.3">
      <c r="K64" s="4" t="s">
        <v>92</v>
      </c>
      <c r="L64" s="2">
        <v>12</v>
      </c>
      <c r="O64" s="19">
        <v>45324</v>
      </c>
    </row>
    <row r="65" spans="11:15" x14ac:dyDescent="0.3">
      <c r="K65" s="4" t="s">
        <v>98</v>
      </c>
      <c r="L65" s="2">
        <v>6</v>
      </c>
      <c r="O65" s="19">
        <v>45325</v>
      </c>
    </row>
    <row r="66" spans="11:15" x14ac:dyDescent="0.3">
      <c r="K66" s="4" t="s">
        <v>120</v>
      </c>
      <c r="L66" s="2">
        <v>6</v>
      </c>
      <c r="O66" s="19">
        <v>45326</v>
      </c>
    </row>
    <row r="67" spans="11:15" x14ac:dyDescent="0.3">
      <c r="K67" s="4" t="s">
        <v>95</v>
      </c>
      <c r="L67" s="2">
        <v>6</v>
      </c>
      <c r="O67" s="19">
        <v>45327</v>
      </c>
    </row>
    <row r="68" spans="11:15" x14ac:dyDescent="0.3">
      <c r="K68" s="4" t="s">
        <v>5</v>
      </c>
      <c r="L68" s="2">
        <v>431</v>
      </c>
      <c r="O68" s="19">
        <v>45328</v>
      </c>
    </row>
    <row r="69" spans="11:15" x14ac:dyDescent="0.3">
      <c r="O69" s="19">
        <v>45329</v>
      </c>
    </row>
    <row r="70" spans="11:15" x14ac:dyDescent="0.3">
      <c r="O70" s="19">
        <v>45330</v>
      </c>
    </row>
    <row r="71" spans="11:15" x14ac:dyDescent="0.3">
      <c r="O71" s="19">
        <v>45331</v>
      </c>
    </row>
    <row r="72" spans="11:15" x14ac:dyDescent="0.3">
      <c r="O72" s="19">
        <v>45332</v>
      </c>
    </row>
    <row r="73" spans="11:15" x14ac:dyDescent="0.3">
      <c r="O73" s="19">
        <v>45333</v>
      </c>
    </row>
    <row r="74" spans="11:15" x14ac:dyDescent="0.3">
      <c r="O74" s="19">
        <v>45334</v>
      </c>
    </row>
    <row r="75" spans="11:15" x14ac:dyDescent="0.3">
      <c r="O75" s="19">
        <v>45335</v>
      </c>
    </row>
    <row r="76" spans="11:15" x14ac:dyDescent="0.3">
      <c r="O76" s="19">
        <v>45336</v>
      </c>
    </row>
    <row r="77" spans="11:15" x14ac:dyDescent="0.3">
      <c r="O77" s="19">
        <v>45337</v>
      </c>
    </row>
    <row r="78" spans="11:15" x14ac:dyDescent="0.3">
      <c r="O78" s="19">
        <v>45338</v>
      </c>
    </row>
    <row r="79" spans="11:15" x14ac:dyDescent="0.3">
      <c r="O79" s="19">
        <v>45339</v>
      </c>
    </row>
    <row r="80" spans="11:15" x14ac:dyDescent="0.3">
      <c r="O80" s="19">
        <v>45340</v>
      </c>
    </row>
    <row r="81" spans="15:15" x14ac:dyDescent="0.3">
      <c r="O81" s="19">
        <v>45341</v>
      </c>
    </row>
    <row r="82" spans="15:15" x14ac:dyDescent="0.3">
      <c r="O82" s="19">
        <v>45342</v>
      </c>
    </row>
    <row r="83" spans="15:15" x14ac:dyDescent="0.3">
      <c r="O83" s="19">
        <v>45343</v>
      </c>
    </row>
    <row r="84" spans="15:15" x14ac:dyDescent="0.3">
      <c r="O84" s="19">
        <v>45344</v>
      </c>
    </row>
    <row r="85" spans="15:15" x14ac:dyDescent="0.3">
      <c r="O85" s="19">
        <v>45345</v>
      </c>
    </row>
    <row r="86" spans="15:15" x14ac:dyDescent="0.3">
      <c r="O86" s="19">
        <v>45346</v>
      </c>
    </row>
    <row r="87" spans="15:15" x14ac:dyDescent="0.3">
      <c r="O87" s="19">
        <v>45347</v>
      </c>
    </row>
    <row r="88" spans="15:15" x14ac:dyDescent="0.3">
      <c r="O88" s="19">
        <v>45348</v>
      </c>
    </row>
    <row r="89" spans="15:15" x14ac:dyDescent="0.3">
      <c r="O89" s="19">
        <v>45349</v>
      </c>
    </row>
    <row r="90" spans="15:15" x14ac:dyDescent="0.3">
      <c r="O90" s="19">
        <v>45350</v>
      </c>
    </row>
    <row r="91" spans="15:15" x14ac:dyDescent="0.3">
      <c r="O91" s="19">
        <v>45351</v>
      </c>
    </row>
    <row r="92" spans="15:15" x14ac:dyDescent="0.3">
      <c r="O92" s="4" t="s">
        <v>5</v>
      </c>
    </row>
  </sheetData>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4047-5FEF-4CBB-A64D-31C7E31BFF06}">
  <dimension ref="P7:U7"/>
  <sheetViews>
    <sheetView tabSelected="1" zoomScale="128" workbookViewId="0">
      <selection activeCell="Q5" sqref="Q5"/>
    </sheetView>
  </sheetViews>
  <sheetFormatPr defaultRowHeight="14.4" x14ac:dyDescent="0.3"/>
  <cols>
    <col min="1" max="7" width="8.88671875" style="3"/>
    <col min="8" max="8" width="10.88671875" style="3" customWidth="1"/>
    <col min="9" max="10" width="8.88671875" style="3"/>
    <col min="11" max="11" width="8.5546875" style="3" customWidth="1"/>
    <col min="12" max="14" width="8.88671875" style="3"/>
    <col min="15" max="15" width="8.109375" style="3" customWidth="1"/>
    <col min="16" max="16" width="8.88671875" style="3" hidden="1" customWidth="1"/>
    <col min="17" max="17" width="1" style="3" customWidth="1"/>
    <col min="18" max="19" width="8.88671875" style="3" hidden="1" customWidth="1"/>
    <col min="20" max="16384" width="8.88671875" style="3"/>
  </cols>
  <sheetData>
    <row r="7" spans="21:21" x14ac:dyDescent="0.3">
      <c r="U7" s="20"/>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4BCE2-6E09-41F2-ACF8-36058F40D05F}">
  <dimension ref="A1:O25"/>
  <sheetViews>
    <sheetView workbookViewId="0">
      <selection activeCell="D24" sqref="D24"/>
    </sheetView>
  </sheetViews>
  <sheetFormatPr defaultRowHeight="14.4" x14ac:dyDescent="0.3"/>
  <sheetData>
    <row r="1" spans="1:15" x14ac:dyDescent="0.3">
      <c r="A1" s="10"/>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row r="7" spans="1:15" x14ac:dyDescent="0.3">
      <c r="A7" s="10"/>
      <c r="B7" s="10"/>
      <c r="C7" s="10"/>
      <c r="D7" s="10"/>
      <c r="E7" s="10"/>
      <c r="F7" s="10"/>
      <c r="G7" s="10"/>
      <c r="H7" s="10"/>
      <c r="I7" s="10"/>
      <c r="J7" s="10"/>
      <c r="K7" s="10"/>
      <c r="L7" s="10"/>
      <c r="M7" s="10"/>
      <c r="N7" s="10"/>
      <c r="O7" s="10"/>
    </row>
    <row r="8" spans="1:15" x14ac:dyDescent="0.3">
      <c r="A8" s="10"/>
      <c r="B8" s="10"/>
      <c r="C8" s="10"/>
      <c r="D8" s="10"/>
      <c r="E8" s="10"/>
      <c r="F8" s="10"/>
      <c r="G8" s="10"/>
      <c r="H8" s="10"/>
      <c r="I8" s="10"/>
      <c r="J8" s="10"/>
      <c r="K8" s="10"/>
      <c r="L8" s="10"/>
      <c r="M8" s="10"/>
      <c r="N8" s="10"/>
      <c r="O8" s="10"/>
    </row>
    <row r="9" spans="1:15" x14ac:dyDescent="0.3">
      <c r="A9" s="10"/>
      <c r="B9" s="10"/>
      <c r="C9" s="10"/>
      <c r="D9" s="10"/>
      <c r="E9" s="10"/>
      <c r="F9" s="10"/>
      <c r="G9" s="10"/>
      <c r="H9" s="10"/>
      <c r="I9" s="10"/>
      <c r="J9" s="10"/>
      <c r="K9" s="10"/>
      <c r="L9" s="10"/>
      <c r="M9" s="10"/>
      <c r="N9" s="10"/>
      <c r="O9" s="10"/>
    </row>
    <row r="10" spans="1:15" x14ac:dyDescent="0.3">
      <c r="A10" s="10"/>
      <c r="B10" s="10"/>
      <c r="C10" s="10"/>
      <c r="D10" s="10"/>
      <c r="E10" s="10"/>
      <c r="F10" s="10"/>
      <c r="G10" s="10"/>
      <c r="H10" s="10"/>
      <c r="I10" s="10"/>
      <c r="J10" s="10"/>
      <c r="K10" s="10"/>
      <c r="L10" s="10"/>
      <c r="M10" s="10"/>
      <c r="N10" s="10"/>
      <c r="O10" s="10"/>
    </row>
    <row r="11" spans="1:15" x14ac:dyDescent="0.3">
      <c r="A11" s="10"/>
      <c r="B11" s="10"/>
      <c r="C11" s="10"/>
      <c r="D11" s="10"/>
      <c r="E11" s="10"/>
      <c r="F11" s="10"/>
      <c r="G11" s="10"/>
      <c r="H11" s="10"/>
      <c r="I11" s="10"/>
      <c r="J11" s="10"/>
      <c r="K11" s="10"/>
      <c r="L11" s="10"/>
      <c r="M11" s="10"/>
      <c r="N11" s="10"/>
      <c r="O11" s="10"/>
    </row>
    <row r="12" spans="1:15" x14ac:dyDescent="0.3">
      <c r="A12" s="10"/>
      <c r="B12" s="10"/>
      <c r="C12" s="10"/>
      <c r="D12" s="10"/>
      <c r="E12" s="10"/>
      <c r="F12" s="10"/>
      <c r="G12" s="10"/>
      <c r="H12" s="10"/>
      <c r="I12" s="10"/>
      <c r="J12" s="10"/>
      <c r="K12" s="10"/>
      <c r="L12" s="10"/>
      <c r="M12" s="10"/>
      <c r="N12" s="10"/>
      <c r="O12" s="10"/>
    </row>
    <row r="13" spans="1:15" x14ac:dyDescent="0.3">
      <c r="A13" s="10"/>
      <c r="B13" s="10"/>
      <c r="C13" s="10"/>
      <c r="D13" s="10"/>
      <c r="E13" s="10"/>
      <c r="F13" s="10"/>
      <c r="G13" s="10"/>
      <c r="H13" s="10"/>
      <c r="I13" s="10"/>
      <c r="J13" s="10"/>
      <c r="K13" s="10"/>
      <c r="L13" s="10"/>
      <c r="M13" s="10"/>
      <c r="N13" s="10"/>
      <c r="O13" s="10"/>
    </row>
    <row r="14" spans="1:15" x14ac:dyDescent="0.3">
      <c r="A14" s="10"/>
      <c r="B14" s="10"/>
      <c r="C14" s="10"/>
      <c r="D14" s="10"/>
      <c r="E14" s="10"/>
      <c r="F14" s="10"/>
      <c r="G14" s="10"/>
      <c r="H14" s="10"/>
      <c r="I14" s="10"/>
      <c r="J14" s="10"/>
      <c r="K14" s="10"/>
      <c r="L14" s="10"/>
      <c r="M14" s="10"/>
      <c r="N14" s="10"/>
      <c r="O14" s="10"/>
    </row>
    <row r="15" spans="1:15" x14ac:dyDescent="0.3">
      <c r="A15" s="10"/>
      <c r="B15" s="10"/>
      <c r="C15" s="10"/>
      <c r="D15" s="10"/>
      <c r="E15" s="10"/>
      <c r="F15" s="10"/>
      <c r="G15" s="10"/>
      <c r="H15" s="10"/>
      <c r="I15" s="10"/>
      <c r="J15" s="10"/>
      <c r="K15" s="10"/>
      <c r="L15" s="10"/>
      <c r="M15" s="10"/>
      <c r="N15" s="10"/>
      <c r="O15" s="10"/>
    </row>
    <row r="16" spans="1:15" x14ac:dyDescent="0.3">
      <c r="A16" s="10"/>
      <c r="B16" s="10"/>
      <c r="C16" s="10"/>
      <c r="D16" s="10"/>
      <c r="E16" s="10"/>
      <c r="F16" s="10"/>
      <c r="G16" s="10"/>
      <c r="H16" s="10"/>
      <c r="I16" s="10"/>
      <c r="J16" s="10"/>
      <c r="K16" s="10"/>
      <c r="L16" s="10"/>
      <c r="M16" s="10"/>
      <c r="N16" s="10"/>
      <c r="O16" s="10"/>
    </row>
    <row r="17" spans="1:15" x14ac:dyDescent="0.3">
      <c r="A17" s="10"/>
      <c r="B17" s="10"/>
      <c r="C17" s="10"/>
      <c r="D17" s="10"/>
      <c r="E17" s="10"/>
      <c r="F17" s="10"/>
      <c r="G17" s="10"/>
      <c r="H17" s="10"/>
      <c r="I17" s="10"/>
      <c r="J17" s="10"/>
      <c r="K17" s="10"/>
      <c r="L17" s="10"/>
      <c r="M17" s="10"/>
      <c r="N17" s="10"/>
      <c r="O17" s="10"/>
    </row>
    <row r="18" spans="1:15" x14ac:dyDescent="0.3">
      <c r="A18" s="10"/>
      <c r="B18" s="10"/>
      <c r="C18" s="10"/>
      <c r="D18" s="10"/>
      <c r="E18" s="10"/>
      <c r="F18" s="10"/>
      <c r="G18" s="10"/>
      <c r="H18" s="10"/>
      <c r="I18" s="10"/>
      <c r="J18" s="10"/>
      <c r="K18" s="10"/>
      <c r="L18" s="10"/>
      <c r="M18" s="10"/>
      <c r="N18" s="10"/>
      <c r="O18" s="10"/>
    </row>
    <row r="19" spans="1:15" x14ac:dyDescent="0.3">
      <c r="A19" s="10"/>
      <c r="B19" s="10"/>
      <c r="C19" s="10"/>
      <c r="D19" s="10"/>
      <c r="E19" s="10"/>
      <c r="F19" s="10"/>
      <c r="G19" s="10"/>
      <c r="H19" s="10"/>
      <c r="I19" s="10"/>
      <c r="J19" s="10"/>
      <c r="K19" s="10"/>
      <c r="L19" s="10"/>
      <c r="M19" s="10"/>
      <c r="N19" s="10"/>
      <c r="O19" s="10"/>
    </row>
    <row r="20" spans="1:15" x14ac:dyDescent="0.3">
      <c r="A20" s="10"/>
      <c r="B20" s="10"/>
      <c r="C20" s="10"/>
      <c r="D20" s="10"/>
      <c r="E20" s="10"/>
      <c r="F20" s="10"/>
      <c r="G20" s="10"/>
      <c r="H20" s="10"/>
      <c r="I20" s="10"/>
      <c r="J20" s="10"/>
      <c r="K20" s="10"/>
      <c r="L20" s="10"/>
      <c r="M20" s="10"/>
      <c r="N20" s="10"/>
      <c r="O20" s="10"/>
    </row>
    <row r="21" spans="1:15" x14ac:dyDescent="0.3">
      <c r="A21" s="10"/>
      <c r="B21" s="10"/>
      <c r="C21" s="10"/>
      <c r="D21" s="10"/>
      <c r="E21" s="10"/>
      <c r="F21" s="10"/>
      <c r="G21" s="10"/>
      <c r="H21" s="10"/>
      <c r="I21" s="10"/>
      <c r="J21" s="10"/>
      <c r="K21" s="10"/>
      <c r="L21" s="10"/>
      <c r="M21" s="10"/>
      <c r="N21" s="10"/>
      <c r="O21" s="10"/>
    </row>
    <row r="22" spans="1:15" x14ac:dyDescent="0.3">
      <c r="A22" s="10"/>
      <c r="B22" s="10"/>
      <c r="C22" s="10"/>
      <c r="D22" s="10"/>
      <c r="E22" s="10"/>
      <c r="F22" s="10"/>
      <c r="G22" s="10"/>
      <c r="H22" s="10"/>
      <c r="I22" s="10"/>
      <c r="J22" s="10"/>
      <c r="K22" s="10"/>
      <c r="L22" s="10"/>
      <c r="M22" s="10"/>
      <c r="N22" s="10"/>
      <c r="O22" s="10"/>
    </row>
    <row r="23" spans="1:15" x14ac:dyDescent="0.3">
      <c r="A23" s="10"/>
      <c r="B23" s="10"/>
      <c r="C23" s="10"/>
      <c r="D23" s="10" t="s">
        <v>110</v>
      </c>
      <c r="E23" s="10"/>
      <c r="F23" s="10"/>
      <c r="G23" s="10"/>
      <c r="H23" s="10"/>
      <c r="I23" s="10"/>
      <c r="J23" s="10"/>
      <c r="K23" s="10"/>
      <c r="L23" s="10"/>
      <c r="M23" s="10"/>
      <c r="N23" s="10"/>
      <c r="O23" s="10"/>
    </row>
    <row r="24" spans="1:15" x14ac:dyDescent="0.3">
      <c r="A24" s="10"/>
      <c r="B24" s="10"/>
      <c r="C24" s="10"/>
      <c r="D24" s="10"/>
      <c r="E24" s="10"/>
      <c r="F24" s="10"/>
      <c r="G24" s="10"/>
      <c r="H24" s="10"/>
      <c r="I24" s="10"/>
      <c r="J24" s="10"/>
      <c r="K24" s="10"/>
      <c r="L24" s="10"/>
      <c r="M24" s="10"/>
      <c r="N24" s="10"/>
      <c r="O24" s="10"/>
    </row>
    <row r="25" spans="1:15" x14ac:dyDescent="0.3">
      <c r="A25" s="10"/>
      <c r="B25" s="10"/>
      <c r="C25" s="10"/>
      <c r="D25" s="10"/>
      <c r="E25" s="10"/>
      <c r="F25" s="10"/>
      <c r="G25" s="10"/>
      <c r="H25" s="10"/>
      <c r="I25" s="10"/>
      <c r="J25" s="10"/>
      <c r="K25" s="10"/>
      <c r="L25" s="10"/>
      <c r="M25" s="10"/>
      <c r="N25" s="10"/>
      <c r="O25"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E228F-01BD-4839-81F0-147F8A517667}">
  <dimension ref="A1:N24"/>
  <sheetViews>
    <sheetView zoomScaleNormal="100" workbookViewId="0"/>
  </sheetViews>
  <sheetFormatPr defaultRowHeight="14.4" x14ac:dyDescent="0.3"/>
  <sheetData>
    <row r="1" spans="1:14" x14ac:dyDescent="0.3">
      <c r="A1" s="5"/>
      <c r="B1" s="5"/>
      <c r="C1" s="5"/>
      <c r="D1" s="5"/>
      <c r="E1" s="5"/>
      <c r="F1" s="5"/>
      <c r="G1" s="5"/>
      <c r="H1" s="5"/>
      <c r="I1" s="5"/>
      <c r="J1" s="5"/>
      <c r="K1" s="5"/>
      <c r="L1" s="5"/>
      <c r="M1" s="5"/>
      <c r="N1" s="5"/>
    </row>
    <row r="2" spans="1:14" x14ac:dyDescent="0.3">
      <c r="A2" s="5"/>
      <c r="B2" s="5"/>
      <c r="C2" s="5"/>
      <c r="D2" s="5"/>
      <c r="E2" s="5"/>
      <c r="F2" s="5"/>
      <c r="G2" s="5"/>
      <c r="H2" s="5"/>
      <c r="I2" s="5"/>
      <c r="J2" s="5"/>
      <c r="K2" s="5"/>
      <c r="L2" s="5"/>
      <c r="M2" s="5"/>
      <c r="N2" s="5"/>
    </row>
    <row r="3" spans="1:14" x14ac:dyDescent="0.3">
      <c r="A3" s="5"/>
      <c r="B3" s="5"/>
      <c r="C3" s="5"/>
      <c r="D3" s="5"/>
      <c r="E3" s="5"/>
      <c r="F3" s="5"/>
      <c r="G3" s="5"/>
      <c r="H3" s="5"/>
      <c r="I3" s="5"/>
      <c r="J3" s="5"/>
      <c r="K3" s="5"/>
      <c r="L3" s="5"/>
      <c r="M3" s="5"/>
      <c r="N3" s="5"/>
    </row>
    <row r="4" spans="1:14" x14ac:dyDescent="0.3">
      <c r="A4" s="5"/>
      <c r="B4" s="5"/>
      <c r="C4" s="5"/>
      <c r="D4" s="5"/>
      <c r="E4" s="5"/>
      <c r="F4" s="5"/>
      <c r="G4" s="5"/>
      <c r="H4" s="5"/>
      <c r="I4" s="5"/>
      <c r="J4" s="5"/>
      <c r="K4" s="5"/>
      <c r="L4" s="5"/>
      <c r="M4" s="5"/>
      <c r="N4" s="5"/>
    </row>
    <row r="5" spans="1:14" x14ac:dyDescent="0.3">
      <c r="A5" s="5"/>
      <c r="B5" s="5"/>
      <c r="C5" s="5"/>
      <c r="D5" s="5"/>
      <c r="E5" s="5"/>
      <c r="F5" s="5"/>
      <c r="G5" s="5"/>
      <c r="H5" s="5"/>
      <c r="I5" s="5"/>
      <c r="J5" s="5"/>
      <c r="K5" s="5"/>
      <c r="L5" s="5"/>
      <c r="M5" s="5"/>
      <c r="N5" s="5"/>
    </row>
    <row r="6" spans="1:14" x14ac:dyDescent="0.3">
      <c r="A6" s="5"/>
      <c r="B6" s="5"/>
      <c r="C6" s="5"/>
      <c r="D6" s="5"/>
      <c r="E6" s="5"/>
      <c r="F6" s="5"/>
      <c r="G6" s="5"/>
      <c r="H6" s="5"/>
      <c r="I6" s="5"/>
      <c r="J6" s="5"/>
      <c r="K6" s="5"/>
      <c r="L6" s="5"/>
      <c r="M6" s="5"/>
      <c r="N6" s="5"/>
    </row>
    <row r="7" spans="1:14" x14ac:dyDescent="0.3">
      <c r="A7" s="5"/>
      <c r="B7" s="5"/>
      <c r="C7" s="5"/>
      <c r="D7" s="5"/>
      <c r="E7" s="5"/>
      <c r="F7" s="5"/>
      <c r="G7" s="5"/>
      <c r="H7" s="5"/>
      <c r="I7" s="5"/>
      <c r="J7" s="5"/>
      <c r="K7" s="5"/>
      <c r="L7" s="5"/>
      <c r="M7" s="5"/>
      <c r="N7" s="5"/>
    </row>
    <row r="8" spans="1:14" x14ac:dyDescent="0.3">
      <c r="A8" s="5"/>
      <c r="B8" s="5"/>
      <c r="C8" s="5"/>
      <c r="D8" s="5"/>
      <c r="E8" s="5"/>
      <c r="F8" s="5"/>
      <c r="G8" s="5"/>
      <c r="H8" s="5"/>
      <c r="I8" s="5"/>
      <c r="J8" s="5"/>
      <c r="K8" s="5"/>
      <c r="L8" s="5"/>
      <c r="M8" s="5"/>
      <c r="N8" s="5"/>
    </row>
    <row r="9" spans="1:14" x14ac:dyDescent="0.3">
      <c r="A9" s="5"/>
      <c r="B9" s="5"/>
      <c r="C9" s="5"/>
      <c r="D9" s="5"/>
      <c r="E9" s="5"/>
      <c r="F9" s="5"/>
      <c r="G9" s="5"/>
      <c r="H9" s="5"/>
      <c r="I9" s="5"/>
      <c r="J9" s="5"/>
      <c r="K9" s="5"/>
      <c r="L9" s="5"/>
      <c r="M9" s="5"/>
      <c r="N9" s="5"/>
    </row>
    <row r="10" spans="1:14" x14ac:dyDescent="0.3">
      <c r="A10" s="5"/>
      <c r="B10" s="5"/>
      <c r="C10" s="5"/>
      <c r="D10" s="5"/>
      <c r="E10" s="5"/>
      <c r="F10" s="5"/>
      <c r="G10" s="5"/>
      <c r="H10" s="5"/>
      <c r="I10" s="5"/>
      <c r="J10" s="5"/>
      <c r="K10" s="5"/>
      <c r="L10" s="5"/>
      <c r="M10" s="5"/>
      <c r="N10" s="5"/>
    </row>
    <row r="11" spans="1:14" x14ac:dyDescent="0.3">
      <c r="A11" s="5"/>
      <c r="B11" s="5"/>
      <c r="C11" s="5"/>
      <c r="D11" s="5"/>
      <c r="E11" s="5"/>
      <c r="F11" s="5"/>
      <c r="G11" s="5"/>
      <c r="H11" s="5"/>
      <c r="I11" s="5"/>
      <c r="J11" s="5"/>
      <c r="K11" s="5"/>
      <c r="L11" s="5"/>
      <c r="M11" s="5"/>
      <c r="N11" s="5"/>
    </row>
    <row r="12" spans="1:14" x14ac:dyDescent="0.3">
      <c r="A12" s="5"/>
      <c r="B12" s="5"/>
      <c r="C12" s="5"/>
      <c r="D12" s="5"/>
      <c r="E12" s="5"/>
      <c r="F12" s="5"/>
      <c r="G12" s="5"/>
      <c r="H12" s="5"/>
      <c r="I12" s="5"/>
      <c r="J12" s="5"/>
      <c r="K12" s="5"/>
      <c r="L12" s="5"/>
      <c r="M12" s="5"/>
      <c r="N12" s="5"/>
    </row>
    <row r="13" spans="1:14" x14ac:dyDescent="0.3">
      <c r="A13" s="5"/>
      <c r="B13" s="5"/>
      <c r="C13" s="5"/>
      <c r="D13" s="5"/>
      <c r="E13" s="5"/>
      <c r="F13" s="5"/>
      <c r="G13" s="5"/>
      <c r="H13" s="5"/>
      <c r="I13" s="5"/>
      <c r="J13" s="5"/>
      <c r="K13" s="5"/>
      <c r="L13" s="5"/>
      <c r="M13" s="5"/>
      <c r="N13" s="5"/>
    </row>
    <row r="14" spans="1:14" x14ac:dyDescent="0.3">
      <c r="A14" s="5"/>
      <c r="B14" s="5"/>
      <c r="C14" s="5"/>
      <c r="D14" s="5"/>
      <c r="E14" s="5"/>
      <c r="F14" s="5"/>
      <c r="G14" s="5"/>
      <c r="H14" s="5"/>
      <c r="I14" s="5"/>
      <c r="J14" s="5"/>
      <c r="K14" s="5"/>
      <c r="L14" s="5"/>
      <c r="M14" s="5"/>
      <c r="N14" s="5"/>
    </row>
    <row r="15" spans="1:14" x14ac:dyDescent="0.3">
      <c r="A15" s="5"/>
      <c r="B15" s="5"/>
      <c r="C15" s="5"/>
      <c r="D15" s="5"/>
      <c r="E15" s="5"/>
      <c r="F15" s="5"/>
      <c r="G15" s="5"/>
      <c r="H15" s="5"/>
      <c r="I15" s="5"/>
      <c r="J15" s="5"/>
      <c r="K15" s="5"/>
      <c r="L15" s="5"/>
      <c r="M15" s="5"/>
      <c r="N15" s="5"/>
    </row>
    <row r="16" spans="1:14" x14ac:dyDescent="0.3">
      <c r="A16" s="5"/>
      <c r="B16" s="5"/>
      <c r="C16" s="5"/>
      <c r="D16" s="5"/>
      <c r="E16" s="5"/>
      <c r="F16" s="5"/>
      <c r="G16" s="5"/>
      <c r="H16" s="5"/>
      <c r="I16" s="5"/>
      <c r="J16" s="5"/>
      <c r="K16" s="5"/>
      <c r="L16" s="5"/>
      <c r="M16" s="5"/>
      <c r="N16" s="5"/>
    </row>
    <row r="17" spans="1:14" x14ac:dyDescent="0.3">
      <c r="A17" s="5"/>
      <c r="B17" s="5"/>
      <c r="C17" s="5"/>
      <c r="D17" s="5"/>
      <c r="E17" s="5"/>
      <c r="F17" s="5"/>
      <c r="G17" s="5"/>
      <c r="H17" s="5"/>
      <c r="I17" s="5"/>
      <c r="J17" s="5"/>
      <c r="K17" s="5"/>
      <c r="L17" s="5"/>
      <c r="M17" s="5"/>
      <c r="N17" s="5"/>
    </row>
    <row r="18" spans="1:14" x14ac:dyDescent="0.3">
      <c r="A18" s="5"/>
      <c r="B18" s="5"/>
      <c r="C18" s="5"/>
      <c r="D18" s="5"/>
      <c r="E18" s="5"/>
      <c r="F18" s="5"/>
      <c r="G18" s="5"/>
      <c r="H18" s="5"/>
      <c r="I18" s="5"/>
      <c r="J18" s="5"/>
      <c r="K18" s="5"/>
      <c r="L18" s="5"/>
      <c r="M18" s="5"/>
      <c r="N18" s="5"/>
    </row>
    <row r="19" spans="1:14" x14ac:dyDescent="0.3">
      <c r="A19" s="5"/>
      <c r="B19" s="5"/>
      <c r="C19" s="5"/>
      <c r="D19" s="5"/>
      <c r="E19" s="5"/>
      <c r="F19" s="5"/>
      <c r="G19" s="5"/>
      <c r="H19" s="5"/>
      <c r="I19" s="5"/>
      <c r="J19" s="5"/>
      <c r="K19" s="5"/>
      <c r="L19" s="5"/>
      <c r="M19" s="5"/>
      <c r="N19" s="5"/>
    </row>
    <row r="20" spans="1:14" x14ac:dyDescent="0.3">
      <c r="A20" s="5"/>
      <c r="B20" s="5"/>
      <c r="C20" s="5"/>
      <c r="D20" s="5"/>
      <c r="E20" s="5"/>
      <c r="F20" s="5"/>
      <c r="G20" s="5"/>
      <c r="H20" s="5"/>
      <c r="I20" s="5"/>
      <c r="J20" s="5"/>
      <c r="K20" s="5"/>
      <c r="L20" s="5"/>
      <c r="M20" s="5"/>
      <c r="N20" s="5"/>
    </row>
    <row r="21" spans="1:14" x14ac:dyDescent="0.3">
      <c r="A21" s="6"/>
      <c r="B21" s="6"/>
      <c r="C21" s="6" t="s">
        <v>6</v>
      </c>
      <c r="D21" s="6"/>
      <c r="E21" s="6"/>
      <c r="F21" s="6"/>
      <c r="G21" s="6"/>
      <c r="H21" s="6"/>
      <c r="I21" s="6"/>
      <c r="J21" s="6"/>
      <c r="K21" s="6"/>
      <c r="L21" s="6"/>
      <c r="M21" s="6"/>
      <c r="N21" s="6"/>
    </row>
    <row r="22" spans="1:14" x14ac:dyDescent="0.3">
      <c r="A22" s="5"/>
      <c r="B22" s="5"/>
      <c r="C22" s="5"/>
      <c r="D22" s="5"/>
      <c r="E22" s="5"/>
      <c r="F22" s="5"/>
      <c r="G22" s="5"/>
      <c r="H22" s="5"/>
      <c r="I22" s="5"/>
      <c r="J22" s="5"/>
      <c r="K22" s="5"/>
      <c r="L22" s="5"/>
      <c r="M22" s="5"/>
      <c r="N22" s="5"/>
    </row>
    <row r="23" spans="1:14" x14ac:dyDescent="0.3">
      <c r="A23" s="5"/>
      <c r="B23" s="5"/>
      <c r="C23" s="5"/>
      <c r="D23" s="5"/>
      <c r="E23" s="5"/>
      <c r="F23" s="5"/>
      <c r="G23" s="5"/>
      <c r="H23" s="5"/>
      <c r="I23" s="5"/>
      <c r="J23" s="5"/>
      <c r="K23" s="5"/>
      <c r="L23" s="5"/>
      <c r="M23" s="5"/>
      <c r="N23" s="5"/>
    </row>
    <row r="24" spans="1:14" x14ac:dyDescent="0.3">
      <c r="A24" s="5"/>
      <c r="B24" s="5"/>
      <c r="C24" s="5"/>
      <c r="D24" s="5"/>
      <c r="E24" s="5"/>
      <c r="F24" s="5"/>
      <c r="G24" s="5"/>
      <c r="H24" s="5"/>
      <c r="I24" s="5"/>
      <c r="J24" s="5"/>
      <c r="K24" s="5"/>
      <c r="L24" s="5"/>
      <c r="M24" s="5"/>
      <c r="N24"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C62B91E6-70D1-479C-8562-677A0134B551}">
  <ds:schemaRefs>
    <ds:schemaRef ds:uri="http://schemas.microsoft.com/DataMashup"/>
  </ds:schemaRefs>
</ds:datastoreItem>
</file>

<file path=customXml/itemProps2.xml><?xml version="1.0" encoding="utf-8"?>
<ds:datastoreItem xmlns:ds="http://schemas.openxmlformats.org/officeDocument/2006/customXml" ds:itemID="{C05487AF-37BC-4E25-AFFF-F5F50A15039E}">
  <ds:schemaRefs/>
</ds:datastoreItem>
</file>

<file path=customXml/itemProps3.xml><?xml version="1.0" encoding="utf-8"?>
<ds:datastoreItem xmlns:ds="http://schemas.openxmlformats.org/officeDocument/2006/customXml" ds:itemID="{3F7E55C5-CF51-4F62-87DD-0AC25A8CD0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Pivot reports</vt:lpstr>
      <vt:lpstr>Dashboard</vt:lpstr>
      <vt:lpstr>average wait time</vt:lpstr>
      <vt:lpstr>no. patients in 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singh bisht</dc:creator>
  <cp:lastModifiedBy>karan singh bisht</cp:lastModifiedBy>
  <dcterms:created xsi:type="dcterms:W3CDTF">2026-08-04T09:26:13Z</dcterms:created>
  <dcterms:modified xsi:type="dcterms:W3CDTF">2026-09-05T11:44:48Z</dcterms:modified>
</cp:coreProperties>
</file>